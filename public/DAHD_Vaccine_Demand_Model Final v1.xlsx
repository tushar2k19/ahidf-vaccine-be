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cgt-my.sharepoint.com/personal/vishwajeet_anand_in_gt_com/Documents/DAHD/"/>
    </mc:Choice>
  </mc:AlternateContent>
  <xr:revisionPtr revIDLastSave="52" documentId="11_C1629966B4BC0C6CA6882712B5E8135D015313B3" xr6:coauthVersionLast="47" xr6:coauthVersionMax="47" xr10:uidLastSave="{CCE42F18-AFE7-49F2-AD48-3B01B079E358}"/>
  <bookViews>
    <workbookView xWindow="-110" yWindow="-110" windowWidth="19420" windowHeight="10300" tabRatio="848" xr2:uid="{00000000-000D-0000-FFFF-FFFF00000000}"/>
  </bookViews>
  <sheets>
    <sheet name="Livestock Count" sheetId="1" r:id="rId1"/>
    <sheet name="Assumptions" sheetId="2" r:id="rId2"/>
    <sheet name="Vaccine Parameters" sheetId="3" r:id="rId3"/>
    <sheet name="Demand Estimation" sheetId="4" state="hidden" r:id="rId4"/>
    <sheet name="Last Year Procurement" sheetId="5" state="hidden" r:id="rId5"/>
    <sheet name="State Prioritisation" sheetId="6" r:id="rId6"/>
    <sheet name="Dashboard" sheetId="7" state="hidden" r:id="rId7"/>
    <sheet name="FMD Demand" sheetId="8" r:id="rId8"/>
    <sheet name="Brucellosis Demand" sheetId="9" r:id="rId9"/>
    <sheet name="PPR Demand" sheetId="10" r:id="rId10"/>
    <sheet name="CSF Demand" sheetId="11" r:id="rId11"/>
    <sheet name="LSD Demand" sheetId="12" r:id="rId12"/>
    <sheet name="Final Demand (State x Vaccine)" sheetId="13" r:id="rId13"/>
    <sheet name="FMD Summary" sheetId="14" state="hidden" r:id="rId14"/>
    <sheet name="Brucellosis Summary" sheetId="15" state="hidden" r:id="rId15"/>
    <sheet name="PPR Summary" sheetId="16" state="hidden" r:id="rId16"/>
    <sheet name="CSF Summary" sheetId="17" state="hidden" r:id="rId17"/>
    <sheet name="LSD Summary" sheetId="18" state="hidden" r:id="rId18"/>
    <sheet name="Executive Dashboard (MoFAHD)" sheetId="20" r:id="rId19"/>
    <sheet name="Dashboard1" sheetId="21" r:id="rId20"/>
    <sheet name="Formula Logic Explained" sheetId="19" r:id="rId21"/>
  </sheets>
  <definedNames>
    <definedName name="_xlnm._FilterDatabase" localSheetId="5" hidden="1">'State Prioritisation'!$A$1:$H$37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2" l="1"/>
  <c r="B36" i="12"/>
  <c r="B35" i="12"/>
  <c r="C35" i="12" s="1"/>
  <c r="D35" i="12" s="1"/>
  <c r="F35" i="12" s="1"/>
  <c r="G35" i="12" s="1"/>
  <c r="H35" i="12" s="1"/>
  <c r="B34" i="12"/>
  <c r="B33" i="12"/>
  <c r="B32" i="12"/>
  <c r="C32" i="12" s="1"/>
  <c r="D32" i="12" s="1"/>
  <c r="F32" i="12" s="1"/>
  <c r="G32" i="12" s="1"/>
  <c r="H32" i="12" s="1"/>
  <c r="B31" i="12"/>
  <c r="B30" i="12"/>
  <c r="C30" i="12" s="1"/>
  <c r="D30" i="12" s="1"/>
  <c r="F30" i="12" s="1"/>
  <c r="G30" i="12" s="1"/>
  <c r="H30" i="12" s="1"/>
  <c r="B29" i="12"/>
  <c r="C29" i="12" s="1"/>
  <c r="D29" i="12" s="1"/>
  <c r="F29" i="12" s="1"/>
  <c r="G29" i="12" s="1"/>
  <c r="H29" i="12" s="1"/>
  <c r="B28" i="12"/>
  <c r="B27" i="12"/>
  <c r="B26" i="12"/>
  <c r="C26" i="12" s="1"/>
  <c r="D26" i="12" s="1"/>
  <c r="F26" i="12" s="1"/>
  <c r="G26" i="12" s="1"/>
  <c r="H26" i="12" s="1"/>
  <c r="B25" i="12"/>
  <c r="C25" i="12" s="1"/>
  <c r="D25" i="12" s="1"/>
  <c r="F25" i="12" s="1"/>
  <c r="G25" i="12" s="1"/>
  <c r="H25" i="12" s="1"/>
  <c r="B24" i="12"/>
  <c r="B23" i="12"/>
  <c r="C23" i="12" s="1"/>
  <c r="D23" i="12" s="1"/>
  <c r="F23" i="12" s="1"/>
  <c r="G23" i="12" s="1"/>
  <c r="H23" i="12" s="1"/>
  <c r="K23" i="12" s="1"/>
  <c r="B22" i="12"/>
  <c r="C22" i="12" s="1"/>
  <c r="D22" i="12" s="1"/>
  <c r="F22" i="12" s="1"/>
  <c r="G22" i="12" s="1"/>
  <c r="H22" i="12" s="1"/>
  <c r="B21" i="12"/>
  <c r="B20" i="12"/>
  <c r="B19" i="12"/>
  <c r="C19" i="12" s="1"/>
  <c r="B18" i="12"/>
  <c r="B17" i="12"/>
  <c r="C17" i="12" s="1"/>
  <c r="D17" i="12" s="1"/>
  <c r="F17" i="12" s="1"/>
  <c r="G17" i="12" s="1"/>
  <c r="H17" i="12" s="1"/>
  <c r="B16" i="12"/>
  <c r="B15" i="12"/>
  <c r="B14" i="12"/>
  <c r="B13" i="12"/>
  <c r="C13" i="12" s="1"/>
  <c r="D13" i="12" s="1"/>
  <c r="F13" i="12" s="1"/>
  <c r="G13" i="12" s="1"/>
  <c r="H13" i="12" s="1"/>
  <c r="B12" i="12"/>
  <c r="B11" i="12"/>
  <c r="B10" i="12"/>
  <c r="B9" i="12"/>
  <c r="C9" i="12" s="1"/>
  <c r="D9" i="12" s="1"/>
  <c r="F9" i="12" s="1"/>
  <c r="G9" i="12" s="1"/>
  <c r="H9" i="12" s="1"/>
  <c r="B8" i="12"/>
  <c r="B7" i="12"/>
  <c r="B6" i="12"/>
  <c r="B5" i="12"/>
  <c r="B4" i="12"/>
  <c r="B3" i="12"/>
  <c r="C4" i="12"/>
  <c r="D4" i="12" s="1"/>
  <c r="F4" i="12" s="1"/>
  <c r="G4" i="12" s="1"/>
  <c r="H4" i="12" s="1"/>
  <c r="C8" i="12"/>
  <c r="D8" i="12" s="1"/>
  <c r="F8" i="12" s="1"/>
  <c r="G8" i="12" s="1"/>
  <c r="H8" i="12" s="1"/>
  <c r="C12" i="12"/>
  <c r="C36" i="12"/>
  <c r="D36" i="12" s="1"/>
  <c r="F36" i="12" s="1"/>
  <c r="G36" i="12" s="1"/>
  <c r="H36" i="12" s="1"/>
  <c r="B2" i="12"/>
  <c r="B3" i="11"/>
  <c r="B4" i="11"/>
  <c r="B5" i="11"/>
  <c r="C5" i="11" s="1"/>
  <c r="D5" i="11" s="1"/>
  <c r="F5" i="11" s="1"/>
  <c r="G5" i="11" s="1"/>
  <c r="H5" i="11" s="1"/>
  <c r="B6" i="11"/>
  <c r="B7" i="11"/>
  <c r="B8" i="11"/>
  <c r="C8" i="11" s="1"/>
  <c r="D8" i="11" s="1"/>
  <c r="F8" i="11" s="1"/>
  <c r="G8" i="11" s="1"/>
  <c r="H8" i="11" s="1"/>
  <c r="B9" i="11"/>
  <c r="C9" i="11" s="1"/>
  <c r="D9" i="11" s="1"/>
  <c r="F9" i="11" s="1"/>
  <c r="G9" i="11" s="1"/>
  <c r="H9" i="11" s="1"/>
  <c r="B10" i="11"/>
  <c r="B11" i="11"/>
  <c r="C11" i="11" s="1"/>
  <c r="B12" i="11"/>
  <c r="C12" i="11" s="1"/>
  <c r="D12" i="11" s="1"/>
  <c r="F12" i="11" s="1"/>
  <c r="G12" i="11" s="1"/>
  <c r="H12" i="11" s="1"/>
  <c r="B13" i="11"/>
  <c r="B14" i="11"/>
  <c r="B15" i="11"/>
  <c r="B16" i="11"/>
  <c r="B17" i="11"/>
  <c r="B18" i="11"/>
  <c r="B19" i="11"/>
  <c r="C19" i="11" s="1"/>
  <c r="B20" i="11"/>
  <c r="B21" i="11"/>
  <c r="B22" i="11"/>
  <c r="B23" i="11"/>
  <c r="B24" i="11"/>
  <c r="C24" i="11" s="1"/>
  <c r="D24" i="11" s="1"/>
  <c r="F24" i="11" s="1"/>
  <c r="G24" i="11" s="1"/>
  <c r="H24" i="11" s="1"/>
  <c r="B25" i="11"/>
  <c r="B26" i="11"/>
  <c r="B27" i="11"/>
  <c r="D27" i="11" s="1"/>
  <c r="F27" i="11" s="1"/>
  <c r="G27" i="11" s="1"/>
  <c r="H27" i="11" s="1"/>
  <c r="B28" i="11"/>
  <c r="C28" i="11" s="1"/>
  <c r="D28" i="11" s="1"/>
  <c r="F28" i="11" s="1"/>
  <c r="G28" i="11" s="1"/>
  <c r="H28" i="11" s="1"/>
  <c r="B29" i="11"/>
  <c r="B30" i="11"/>
  <c r="B31" i="11"/>
  <c r="B32" i="11"/>
  <c r="B33" i="11"/>
  <c r="C33" i="11" s="1"/>
  <c r="B34" i="11"/>
  <c r="B35" i="11"/>
  <c r="C35" i="11" s="1"/>
  <c r="B36" i="11"/>
  <c r="C36" i="11" s="1"/>
  <c r="D36" i="11" s="1"/>
  <c r="F36" i="11" s="1"/>
  <c r="G36" i="11" s="1"/>
  <c r="H36" i="11" s="1"/>
  <c r="B37" i="11"/>
  <c r="B2" i="11"/>
  <c r="B3" i="10"/>
  <c r="B4" i="10"/>
  <c r="B5" i="10"/>
  <c r="B6" i="10"/>
  <c r="B7" i="10"/>
  <c r="B8" i="10"/>
  <c r="C8" i="10" s="1"/>
  <c r="D8" i="10" s="1"/>
  <c r="F8" i="10" s="1"/>
  <c r="G8" i="10" s="1"/>
  <c r="H8" i="10" s="1"/>
  <c r="B9" i="10"/>
  <c r="C9" i="10" s="1"/>
  <c r="D9" i="10" s="1"/>
  <c r="F9" i="10" s="1"/>
  <c r="G9" i="10" s="1"/>
  <c r="H9" i="10" s="1"/>
  <c r="B10" i="10"/>
  <c r="B11" i="10"/>
  <c r="B12" i="10"/>
  <c r="B13" i="10"/>
  <c r="B14" i="10"/>
  <c r="B15" i="10"/>
  <c r="B16" i="10"/>
  <c r="C16" i="10" s="1"/>
  <c r="D16" i="10" s="1"/>
  <c r="F16" i="10" s="1"/>
  <c r="G16" i="10" s="1"/>
  <c r="H16" i="10" s="1"/>
  <c r="B17" i="10"/>
  <c r="D17" i="10" s="1"/>
  <c r="F17" i="10" s="1"/>
  <c r="G17" i="10" s="1"/>
  <c r="H17" i="10" s="1"/>
  <c r="B18" i="10"/>
  <c r="C18" i="10" s="1"/>
  <c r="B19" i="10"/>
  <c r="B20" i="10"/>
  <c r="B21" i="10"/>
  <c r="B22" i="10"/>
  <c r="B23" i="10"/>
  <c r="C23" i="10" s="1"/>
  <c r="B24" i="10"/>
  <c r="B25" i="10"/>
  <c r="B26" i="10"/>
  <c r="C26" i="10" s="1"/>
  <c r="B27" i="10"/>
  <c r="B28" i="10"/>
  <c r="C28" i="10" s="1"/>
  <c r="B29" i="10"/>
  <c r="C29" i="10" s="1"/>
  <c r="D29" i="10" s="1"/>
  <c r="F29" i="10" s="1"/>
  <c r="G29" i="10" s="1"/>
  <c r="H29" i="10" s="1"/>
  <c r="B30" i="10"/>
  <c r="B31" i="10"/>
  <c r="C31" i="10" s="1"/>
  <c r="B32" i="10"/>
  <c r="C32" i="10" s="1"/>
  <c r="D32" i="10" s="1"/>
  <c r="F32" i="10" s="1"/>
  <c r="G32" i="10" s="1"/>
  <c r="H32" i="10" s="1"/>
  <c r="B33" i="10"/>
  <c r="B34" i="10"/>
  <c r="B35" i="10"/>
  <c r="B36" i="10"/>
  <c r="B37" i="10"/>
  <c r="B2" i="10"/>
  <c r="B3" i="9"/>
  <c r="C3" i="9" s="1"/>
  <c r="B4" i="9"/>
  <c r="C4" i="9" s="1"/>
  <c r="D4" i="9" s="1"/>
  <c r="F4" i="9" s="1"/>
  <c r="G4" i="9" s="1"/>
  <c r="H4" i="9" s="1"/>
  <c r="B5" i="9"/>
  <c r="B6" i="9"/>
  <c r="B7" i="9"/>
  <c r="B8" i="9"/>
  <c r="B9" i="9"/>
  <c r="B10" i="9"/>
  <c r="B11" i="9"/>
  <c r="B12" i="9"/>
  <c r="C12" i="9" s="1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C28" i="9" s="1"/>
  <c r="D28" i="9" s="1"/>
  <c r="F28" i="9" s="1"/>
  <c r="G28" i="9" s="1"/>
  <c r="H28" i="9" s="1"/>
  <c r="B29" i="9"/>
  <c r="B30" i="9"/>
  <c r="B31" i="9"/>
  <c r="B32" i="9"/>
  <c r="B33" i="9"/>
  <c r="B34" i="9"/>
  <c r="C34" i="9" s="1"/>
  <c r="B35" i="9"/>
  <c r="B36" i="9"/>
  <c r="C36" i="9" s="1"/>
  <c r="D36" i="9" s="1"/>
  <c r="F36" i="9" s="1"/>
  <c r="G36" i="9" s="1"/>
  <c r="H36" i="9" s="1"/>
  <c r="B37" i="9"/>
  <c r="C37" i="9" s="1"/>
  <c r="D37" i="9" s="1"/>
  <c r="F37" i="9" s="1"/>
  <c r="G37" i="9" s="1"/>
  <c r="H37" i="9" s="1"/>
  <c r="B2" i="9"/>
  <c r="B3" i="8"/>
  <c r="B4" i="8"/>
  <c r="C4" i="8" s="1"/>
  <c r="D4" i="8" s="1"/>
  <c r="F4" i="8" s="1"/>
  <c r="G4" i="8" s="1"/>
  <c r="H4" i="8" s="1"/>
  <c r="J4" i="8" s="1"/>
  <c r="B5" i="8"/>
  <c r="B6" i="8"/>
  <c r="C6" i="8" s="1"/>
  <c r="B7" i="8"/>
  <c r="C7" i="8" s="1"/>
  <c r="D7" i="8" s="1"/>
  <c r="F7" i="8" s="1"/>
  <c r="G7" i="8" s="1"/>
  <c r="H7" i="8" s="1"/>
  <c r="B8" i="8"/>
  <c r="C8" i="8" s="1"/>
  <c r="B9" i="8"/>
  <c r="B10" i="8"/>
  <c r="C10" i="8" s="1"/>
  <c r="B11" i="8"/>
  <c r="B12" i="8"/>
  <c r="B13" i="8"/>
  <c r="B14" i="8"/>
  <c r="B15" i="8"/>
  <c r="B16" i="8"/>
  <c r="B17" i="8"/>
  <c r="B18" i="8"/>
  <c r="C18" i="8" s="1"/>
  <c r="D18" i="8" s="1"/>
  <c r="F18" i="8" s="1"/>
  <c r="G18" i="8" s="1"/>
  <c r="H18" i="8" s="1"/>
  <c r="B19" i="8"/>
  <c r="B20" i="8"/>
  <c r="C20" i="8" s="1"/>
  <c r="B21" i="8"/>
  <c r="B22" i="8"/>
  <c r="C22" i="8" s="1"/>
  <c r="D22" i="8" s="1"/>
  <c r="F22" i="8" s="1"/>
  <c r="G22" i="8" s="1"/>
  <c r="H22" i="8" s="1"/>
  <c r="B23" i="8"/>
  <c r="C23" i="8" s="1"/>
  <c r="D23" i="8" s="1"/>
  <c r="F23" i="8" s="1"/>
  <c r="G23" i="8" s="1"/>
  <c r="H23" i="8" s="1"/>
  <c r="K23" i="8" s="1"/>
  <c r="B24" i="8"/>
  <c r="C24" i="8" s="1"/>
  <c r="B25" i="8"/>
  <c r="B26" i="8"/>
  <c r="B27" i="8"/>
  <c r="B28" i="8"/>
  <c r="C28" i="8" s="1"/>
  <c r="B29" i="8"/>
  <c r="B30" i="8"/>
  <c r="C30" i="8" s="1"/>
  <c r="D30" i="8" s="1"/>
  <c r="F30" i="8" s="1"/>
  <c r="G30" i="8" s="1"/>
  <c r="H30" i="8" s="1"/>
  <c r="B31" i="8"/>
  <c r="C31" i="8" s="1"/>
  <c r="B32" i="8"/>
  <c r="C32" i="8" s="1"/>
  <c r="D32" i="8" s="1"/>
  <c r="F32" i="8" s="1"/>
  <c r="G32" i="8" s="1"/>
  <c r="H32" i="8" s="1"/>
  <c r="B33" i="8"/>
  <c r="B34" i="8"/>
  <c r="B35" i="8"/>
  <c r="B36" i="8"/>
  <c r="C36" i="8" s="1"/>
  <c r="D36" i="8" s="1"/>
  <c r="F36" i="8" s="1"/>
  <c r="G36" i="8" s="1"/>
  <c r="H36" i="8" s="1"/>
  <c r="B37" i="8"/>
  <c r="C5" i="8"/>
  <c r="D5" i="8" s="1"/>
  <c r="F5" i="8" s="1"/>
  <c r="G5" i="8" s="1"/>
  <c r="H5" i="8" s="1"/>
  <c r="C13" i="8"/>
  <c r="D13" i="8" s="1"/>
  <c r="F13" i="8" s="1"/>
  <c r="G13" i="8" s="1"/>
  <c r="H13" i="8" s="1"/>
  <c r="D21" i="8"/>
  <c r="F21" i="8" s="1"/>
  <c r="G21" i="8" s="1"/>
  <c r="H21" i="8" s="1"/>
  <c r="C37" i="8"/>
  <c r="D37" i="8" s="1"/>
  <c r="F37" i="8" s="1"/>
  <c r="G37" i="8" s="1"/>
  <c r="H37" i="8" s="1"/>
  <c r="A3" i="15"/>
  <c r="A9" i="15"/>
  <c r="A11" i="15"/>
  <c r="A14" i="15"/>
  <c r="A17" i="15"/>
  <c r="A19" i="15"/>
  <c r="A22" i="15"/>
  <c r="A23" i="15"/>
  <c r="A25" i="15"/>
  <c r="A34" i="15"/>
  <c r="A35" i="15"/>
  <c r="B2" i="8"/>
  <c r="A37" i="18"/>
  <c r="A31" i="18"/>
  <c r="A26" i="18"/>
  <c r="A15" i="18"/>
  <c r="C37" i="12"/>
  <c r="A37" i="12"/>
  <c r="A36" i="12"/>
  <c r="A36" i="18" s="1"/>
  <c r="A35" i="12"/>
  <c r="A35" i="18" s="1"/>
  <c r="A34" i="12"/>
  <c r="A34" i="18" s="1"/>
  <c r="A33" i="12"/>
  <c r="A33" i="18" s="1"/>
  <c r="A32" i="12"/>
  <c r="A32" i="18" s="1"/>
  <c r="A31" i="12"/>
  <c r="A30" i="12"/>
  <c r="A30" i="18" s="1"/>
  <c r="A29" i="12"/>
  <c r="A29" i="18" s="1"/>
  <c r="A28" i="12"/>
  <c r="A28" i="18" s="1"/>
  <c r="A27" i="12"/>
  <c r="A27" i="18" s="1"/>
  <c r="A26" i="12"/>
  <c r="A25" i="12"/>
  <c r="A25" i="18" s="1"/>
  <c r="A24" i="12"/>
  <c r="A24" i="18" s="1"/>
  <c r="A23" i="12"/>
  <c r="A23" i="18" s="1"/>
  <c r="A22" i="12"/>
  <c r="A22" i="18" s="1"/>
  <c r="C21" i="12"/>
  <c r="D21" i="12" s="1"/>
  <c r="F21" i="12" s="1"/>
  <c r="G21" i="12" s="1"/>
  <c r="H21" i="12" s="1"/>
  <c r="I21" i="12" s="1"/>
  <c r="A21" i="12"/>
  <c r="A21" i="18" s="1"/>
  <c r="A20" i="12"/>
  <c r="A20" i="18" s="1"/>
  <c r="A19" i="12"/>
  <c r="A19" i="18" s="1"/>
  <c r="A18" i="12"/>
  <c r="A18" i="18" s="1"/>
  <c r="A17" i="12"/>
  <c r="A17" i="18" s="1"/>
  <c r="A16" i="12"/>
  <c r="A16" i="18" s="1"/>
  <c r="C15" i="12"/>
  <c r="D15" i="12" s="1"/>
  <c r="F15" i="12" s="1"/>
  <c r="G15" i="12" s="1"/>
  <c r="H15" i="12" s="1"/>
  <c r="A15" i="12"/>
  <c r="A14" i="12"/>
  <c r="A14" i="18" s="1"/>
  <c r="A13" i="12"/>
  <c r="A13" i="18" s="1"/>
  <c r="A12" i="12"/>
  <c r="A12" i="18" s="1"/>
  <c r="C11" i="12"/>
  <c r="D11" i="12" s="1"/>
  <c r="F11" i="12" s="1"/>
  <c r="G11" i="12" s="1"/>
  <c r="H11" i="12" s="1"/>
  <c r="K11" i="12" s="1"/>
  <c r="A11" i="12"/>
  <c r="A11" i="18" s="1"/>
  <c r="A10" i="12"/>
  <c r="A10" i="18" s="1"/>
  <c r="A9" i="12"/>
  <c r="A9" i="18" s="1"/>
  <c r="A8" i="12"/>
  <c r="A8" i="18" s="1"/>
  <c r="C7" i="12"/>
  <c r="D7" i="12" s="1"/>
  <c r="F7" i="12" s="1"/>
  <c r="G7" i="12" s="1"/>
  <c r="H7" i="12" s="1"/>
  <c r="I7" i="12" s="1"/>
  <c r="A7" i="12"/>
  <c r="A7" i="18" s="1"/>
  <c r="A6" i="12"/>
  <c r="A6" i="18" s="1"/>
  <c r="C5" i="12"/>
  <c r="D5" i="12" s="1"/>
  <c r="F5" i="12" s="1"/>
  <c r="G5" i="12" s="1"/>
  <c r="H5" i="12" s="1"/>
  <c r="A5" i="12"/>
  <c r="A5" i="18" s="1"/>
  <c r="A4" i="12"/>
  <c r="A4" i="18" s="1"/>
  <c r="C3" i="12"/>
  <c r="D3" i="12" s="1"/>
  <c r="F3" i="12" s="1"/>
  <c r="G3" i="12" s="1"/>
  <c r="H3" i="12" s="1"/>
  <c r="A3" i="12"/>
  <c r="A3" i="18" s="1"/>
  <c r="A2" i="12"/>
  <c r="A2" i="18" s="1"/>
  <c r="C37" i="11"/>
  <c r="D37" i="11" s="1"/>
  <c r="F37" i="11" s="1"/>
  <c r="G37" i="11" s="1"/>
  <c r="H37" i="11" s="1"/>
  <c r="A37" i="11"/>
  <c r="A37" i="17" s="1"/>
  <c r="A36" i="11"/>
  <c r="A36" i="17" s="1"/>
  <c r="A35" i="11"/>
  <c r="A35" i="17" s="1"/>
  <c r="A34" i="11"/>
  <c r="A34" i="17" s="1"/>
  <c r="A33" i="11"/>
  <c r="A33" i="17" s="1"/>
  <c r="C32" i="11"/>
  <c r="D32" i="11" s="1"/>
  <c r="F32" i="11" s="1"/>
  <c r="G32" i="11" s="1"/>
  <c r="H32" i="11" s="1"/>
  <c r="A32" i="11"/>
  <c r="A32" i="17" s="1"/>
  <c r="C31" i="11"/>
  <c r="D31" i="11" s="1"/>
  <c r="F31" i="11" s="1"/>
  <c r="G31" i="11" s="1"/>
  <c r="H31" i="11" s="1"/>
  <c r="I31" i="11" s="1"/>
  <c r="A31" i="11"/>
  <c r="A31" i="17" s="1"/>
  <c r="A30" i="11"/>
  <c r="A30" i="17" s="1"/>
  <c r="C29" i="11"/>
  <c r="D29" i="11" s="1"/>
  <c r="F29" i="11" s="1"/>
  <c r="G29" i="11" s="1"/>
  <c r="H29" i="11" s="1"/>
  <c r="A29" i="11"/>
  <c r="A29" i="17" s="1"/>
  <c r="A28" i="11"/>
  <c r="A28" i="17" s="1"/>
  <c r="C27" i="11"/>
  <c r="A27" i="11"/>
  <c r="A27" i="17" s="1"/>
  <c r="A26" i="11"/>
  <c r="A26" i="17" s="1"/>
  <c r="A25" i="11"/>
  <c r="A25" i="17" s="1"/>
  <c r="A24" i="11"/>
  <c r="A24" i="17" s="1"/>
  <c r="C23" i="11"/>
  <c r="D23" i="11" s="1"/>
  <c r="F23" i="11" s="1"/>
  <c r="G23" i="11" s="1"/>
  <c r="H23" i="11" s="1"/>
  <c r="A23" i="11"/>
  <c r="A23" i="17" s="1"/>
  <c r="A22" i="11"/>
  <c r="A22" i="17" s="1"/>
  <c r="C21" i="11"/>
  <c r="D21" i="11" s="1"/>
  <c r="F21" i="11" s="1"/>
  <c r="G21" i="11" s="1"/>
  <c r="H21" i="11" s="1"/>
  <c r="A21" i="11"/>
  <c r="A21" i="17" s="1"/>
  <c r="A20" i="11"/>
  <c r="A20" i="17" s="1"/>
  <c r="A19" i="11"/>
  <c r="A19" i="17" s="1"/>
  <c r="A18" i="11"/>
  <c r="A18" i="17" s="1"/>
  <c r="A17" i="11"/>
  <c r="A17" i="17" s="1"/>
  <c r="C16" i="11"/>
  <c r="D16" i="11" s="1"/>
  <c r="F16" i="11" s="1"/>
  <c r="G16" i="11" s="1"/>
  <c r="H16" i="11" s="1"/>
  <c r="A16" i="11"/>
  <c r="A16" i="17" s="1"/>
  <c r="C15" i="11"/>
  <c r="D15" i="11" s="1"/>
  <c r="F15" i="11" s="1"/>
  <c r="G15" i="11" s="1"/>
  <c r="H15" i="11" s="1"/>
  <c r="A15" i="11"/>
  <c r="A15" i="17" s="1"/>
  <c r="A14" i="11"/>
  <c r="A14" i="17" s="1"/>
  <c r="C13" i="11"/>
  <c r="D13" i="11" s="1"/>
  <c r="F13" i="11" s="1"/>
  <c r="G13" i="11" s="1"/>
  <c r="H13" i="11" s="1"/>
  <c r="A13" i="11"/>
  <c r="A13" i="17" s="1"/>
  <c r="A12" i="11"/>
  <c r="A12" i="17" s="1"/>
  <c r="A11" i="11"/>
  <c r="A11" i="17" s="1"/>
  <c r="A10" i="11"/>
  <c r="A10" i="17" s="1"/>
  <c r="A9" i="11"/>
  <c r="A9" i="17" s="1"/>
  <c r="A8" i="11"/>
  <c r="A8" i="17" s="1"/>
  <c r="C7" i="11"/>
  <c r="A7" i="11"/>
  <c r="A7" i="17" s="1"/>
  <c r="A6" i="11"/>
  <c r="A6" i="17" s="1"/>
  <c r="A5" i="11"/>
  <c r="A5" i="17" s="1"/>
  <c r="A4" i="11"/>
  <c r="A4" i="17" s="1"/>
  <c r="C3" i="11"/>
  <c r="A3" i="11"/>
  <c r="A3" i="17" s="1"/>
  <c r="A2" i="11"/>
  <c r="A2" i="17" s="1"/>
  <c r="C37" i="10"/>
  <c r="A37" i="10"/>
  <c r="A37" i="16" s="1"/>
  <c r="C36" i="10"/>
  <c r="D36" i="10" s="1"/>
  <c r="F36" i="10" s="1"/>
  <c r="G36" i="10" s="1"/>
  <c r="H36" i="10" s="1"/>
  <c r="A36" i="10"/>
  <c r="A36" i="16" s="1"/>
  <c r="C35" i="10"/>
  <c r="A35" i="10"/>
  <c r="A35" i="16" s="1"/>
  <c r="A34" i="10"/>
  <c r="A34" i="16" s="1"/>
  <c r="C33" i="10"/>
  <c r="D33" i="10" s="1"/>
  <c r="F33" i="10" s="1"/>
  <c r="G33" i="10" s="1"/>
  <c r="H33" i="10" s="1"/>
  <c r="A33" i="10"/>
  <c r="A33" i="16" s="1"/>
  <c r="A32" i="10"/>
  <c r="A32" i="16" s="1"/>
  <c r="A31" i="10"/>
  <c r="A31" i="16" s="1"/>
  <c r="C30" i="10"/>
  <c r="D30" i="10" s="1"/>
  <c r="F30" i="10" s="1"/>
  <c r="G30" i="10" s="1"/>
  <c r="H30" i="10" s="1"/>
  <c r="A30" i="10"/>
  <c r="A30" i="16" s="1"/>
  <c r="A29" i="10"/>
  <c r="A29" i="16" s="1"/>
  <c r="A28" i="10"/>
  <c r="A28" i="16" s="1"/>
  <c r="C27" i="10"/>
  <c r="A27" i="10"/>
  <c r="A27" i="16" s="1"/>
  <c r="A26" i="10"/>
  <c r="A26" i="16" s="1"/>
  <c r="C25" i="10"/>
  <c r="D25" i="10" s="1"/>
  <c r="F25" i="10" s="1"/>
  <c r="G25" i="10" s="1"/>
  <c r="H25" i="10" s="1"/>
  <c r="A25" i="10"/>
  <c r="A25" i="16" s="1"/>
  <c r="C24" i="10"/>
  <c r="D24" i="10" s="1"/>
  <c r="F24" i="10" s="1"/>
  <c r="G24" i="10" s="1"/>
  <c r="H24" i="10" s="1"/>
  <c r="A24" i="10"/>
  <c r="A24" i="16" s="1"/>
  <c r="A23" i="10"/>
  <c r="A23" i="16" s="1"/>
  <c r="C22" i="10"/>
  <c r="D22" i="10" s="1"/>
  <c r="F22" i="10" s="1"/>
  <c r="G22" i="10" s="1"/>
  <c r="H22" i="10" s="1"/>
  <c r="A22" i="10"/>
  <c r="A22" i="16" s="1"/>
  <c r="C21" i="10"/>
  <c r="D21" i="10" s="1"/>
  <c r="F21" i="10" s="1"/>
  <c r="G21" i="10" s="1"/>
  <c r="H21" i="10" s="1"/>
  <c r="A21" i="10"/>
  <c r="A21" i="16" s="1"/>
  <c r="C20" i="10"/>
  <c r="D20" i="10" s="1"/>
  <c r="F20" i="10" s="1"/>
  <c r="G20" i="10" s="1"/>
  <c r="H20" i="10" s="1"/>
  <c r="A20" i="10"/>
  <c r="A20" i="16" s="1"/>
  <c r="C19" i="10"/>
  <c r="A19" i="10"/>
  <c r="A19" i="16" s="1"/>
  <c r="A18" i="10"/>
  <c r="A18" i="16" s="1"/>
  <c r="C17" i="10"/>
  <c r="A17" i="10"/>
  <c r="A17" i="16" s="1"/>
  <c r="A16" i="10"/>
  <c r="A16" i="16" s="1"/>
  <c r="A15" i="10"/>
  <c r="A15" i="16" s="1"/>
  <c r="C14" i="10"/>
  <c r="A14" i="10"/>
  <c r="A14" i="16" s="1"/>
  <c r="C13" i="10"/>
  <c r="D13" i="10" s="1"/>
  <c r="F13" i="10" s="1"/>
  <c r="G13" i="10" s="1"/>
  <c r="H13" i="10" s="1"/>
  <c r="A13" i="10"/>
  <c r="A13" i="16" s="1"/>
  <c r="C12" i="10"/>
  <c r="D12" i="10" s="1"/>
  <c r="F12" i="10" s="1"/>
  <c r="G12" i="10" s="1"/>
  <c r="H12" i="10" s="1"/>
  <c r="A12" i="10"/>
  <c r="A12" i="16" s="1"/>
  <c r="A11" i="10"/>
  <c r="A11" i="16" s="1"/>
  <c r="A10" i="10"/>
  <c r="A10" i="16" s="1"/>
  <c r="A9" i="10"/>
  <c r="A9" i="16" s="1"/>
  <c r="A8" i="10"/>
  <c r="A8" i="16" s="1"/>
  <c r="A7" i="10"/>
  <c r="A7" i="16" s="1"/>
  <c r="C6" i="10"/>
  <c r="A6" i="10"/>
  <c r="A6" i="16" s="1"/>
  <c r="D5" i="10"/>
  <c r="F5" i="10" s="1"/>
  <c r="G5" i="10" s="1"/>
  <c r="H5" i="10" s="1"/>
  <c r="C5" i="10"/>
  <c r="A5" i="10"/>
  <c r="A5" i="16" s="1"/>
  <c r="C4" i="10"/>
  <c r="D4" i="10" s="1"/>
  <c r="F4" i="10" s="1"/>
  <c r="G4" i="10" s="1"/>
  <c r="H4" i="10" s="1"/>
  <c r="A4" i="10"/>
  <c r="A4" i="16" s="1"/>
  <c r="A3" i="10"/>
  <c r="A3" i="16" s="1"/>
  <c r="A2" i="10"/>
  <c r="A2" i="16" s="1"/>
  <c r="A37" i="15"/>
  <c r="A36" i="15"/>
  <c r="C33" i="9"/>
  <c r="D33" i="9" s="1"/>
  <c r="F33" i="9" s="1"/>
  <c r="G33" i="9" s="1"/>
  <c r="H33" i="9" s="1"/>
  <c r="A33" i="15"/>
  <c r="C32" i="9"/>
  <c r="D32" i="9" s="1"/>
  <c r="F32" i="9" s="1"/>
  <c r="G32" i="9" s="1"/>
  <c r="H32" i="9" s="1"/>
  <c r="A32" i="15"/>
  <c r="A31" i="15"/>
  <c r="A30" i="15"/>
  <c r="C29" i="9"/>
  <c r="D29" i="9" s="1"/>
  <c r="F29" i="9" s="1"/>
  <c r="G29" i="9" s="1"/>
  <c r="H29" i="9" s="1"/>
  <c r="A29" i="15"/>
  <c r="A28" i="15"/>
  <c r="A27" i="15"/>
  <c r="A26" i="15"/>
  <c r="C25" i="9"/>
  <c r="D25" i="9" s="1"/>
  <c r="F25" i="9" s="1"/>
  <c r="G25" i="9" s="1"/>
  <c r="H25" i="9" s="1"/>
  <c r="C24" i="9"/>
  <c r="D24" i="9" s="1"/>
  <c r="F24" i="9" s="1"/>
  <c r="G24" i="9" s="1"/>
  <c r="H24" i="9" s="1"/>
  <c r="A24" i="15"/>
  <c r="C22" i="9"/>
  <c r="C21" i="9"/>
  <c r="D21" i="9" s="1"/>
  <c r="F21" i="9" s="1"/>
  <c r="G21" i="9" s="1"/>
  <c r="H21" i="9" s="1"/>
  <c r="A21" i="15"/>
  <c r="A20" i="15"/>
  <c r="A18" i="15"/>
  <c r="C17" i="9"/>
  <c r="D17" i="9" s="1"/>
  <c r="F17" i="9" s="1"/>
  <c r="G17" i="9" s="1"/>
  <c r="H17" i="9" s="1"/>
  <c r="D16" i="9"/>
  <c r="F16" i="9" s="1"/>
  <c r="G16" i="9" s="1"/>
  <c r="H16" i="9" s="1"/>
  <c r="C16" i="9"/>
  <c r="A16" i="15"/>
  <c r="A15" i="15"/>
  <c r="C13" i="9"/>
  <c r="D13" i="9" s="1"/>
  <c r="F13" i="9" s="1"/>
  <c r="G13" i="9" s="1"/>
  <c r="H13" i="9" s="1"/>
  <c r="A13" i="15"/>
  <c r="A12" i="15"/>
  <c r="A10" i="15"/>
  <c r="C8" i="9"/>
  <c r="D8" i="9" s="1"/>
  <c r="F8" i="9" s="1"/>
  <c r="G8" i="9" s="1"/>
  <c r="H8" i="9" s="1"/>
  <c r="I8" i="9" s="1"/>
  <c r="A8" i="15"/>
  <c r="C7" i="9"/>
  <c r="A7" i="15"/>
  <c r="C6" i="9"/>
  <c r="D6" i="9" s="1"/>
  <c r="F6" i="9" s="1"/>
  <c r="G6" i="9" s="1"/>
  <c r="H6" i="9" s="1"/>
  <c r="J6" i="9" s="1"/>
  <c r="A6" i="15"/>
  <c r="C5" i="9"/>
  <c r="D5" i="9" s="1"/>
  <c r="F5" i="9" s="1"/>
  <c r="G5" i="9" s="1"/>
  <c r="H5" i="9" s="1"/>
  <c r="A5" i="15"/>
  <c r="A4" i="15"/>
  <c r="C2" i="9"/>
  <c r="D2" i="9" s="1"/>
  <c r="F2" i="9" s="1"/>
  <c r="G2" i="9" s="1"/>
  <c r="H2" i="9" s="1"/>
  <c r="A2" i="15"/>
  <c r="C35" i="8"/>
  <c r="C33" i="8"/>
  <c r="C29" i="8"/>
  <c r="D29" i="8" s="1"/>
  <c r="F29" i="8" s="1"/>
  <c r="G29" i="8" s="1"/>
  <c r="H29" i="8" s="1"/>
  <c r="C27" i="8"/>
  <c r="C25" i="8"/>
  <c r="D25" i="8" s="1"/>
  <c r="F25" i="8" s="1"/>
  <c r="G25" i="8" s="1"/>
  <c r="H25" i="8" s="1"/>
  <c r="C21" i="8"/>
  <c r="C19" i="8"/>
  <c r="D19" i="8" s="1"/>
  <c r="F19" i="8" s="1"/>
  <c r="G19" i="8" s="1"/>
  <c r="H19" i="8" s="1"/>
  <c r="C17" i="8"/>
  <c r="D17" i="8" s="1"/>
  <c r="F17" i="8" s="1"/>
  <c r="G17" i="8" s="1"/>
  <c r="H17" i="8" s="1"/>
  <c r="C15" i="8"/>
  <c r="C14" i="8"/>
  <c r="C11" i="8"/>
  <c r="C9" i="8"/>
  <c r="D9" i="8" s="1"/>
  <c r="F9" i="8" s="1"/>
  <c r="G9" i="8" s="1"/>
  <c r="H9" i="8" s="1"/>
  <c r="C2" i="8"/>
  <c r="A37" i="6"/>
  <c r="A36" i="6"/>
  <c r="A35" i="6"/>
  <c r="A34" i="6"/>
  <c r="A33" i="6"/>
  <c r="A32" i="6"/>
  <c r="A31" i="6"/>
  <c r="A30" i="6"/>
  <c r="B29" i="6"/>
  <c r="A29" i="6"/>
  <c r="B28" i="6"/>
  <c r="A28" i="6"/>
  <c r="A27" i="6"/>
  <c r="A26" i="6"/>
  <c r="A25" i="6"/>
  <c r="A24" i="6"/>
  <c r="A23" i="6"/>
  <c r="A22" i="6"/>
  <c r="B21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37" i="4"/>
  <c r="A36" i="4"/>
  <c r="A35" i="4"/>
  <c r="A34" i="4"/>
  <c r="A33" i="4"/>
  <c r="A32" i="4"/>
  <c r="A31" i="4"/>
  <c r="A30" i="4"/>
  <c r="B29" i="4"/>
  <c r="A29" i="4"/>
  <c r="B28" i="4"/>
  <c r="A28" i="4"/>
  <c r="A27" i="4"/>
  <c r="A26" i="4"/>
  <c r="A25" i="4"/>
  <c r="A24" i="4"/>
  <c r="A23" i="4"/>
  <c r="A22" i="4"/>
  <c r="C21" i="4"/>
  <c r="B21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B4" i="4"/>
  <c r="A4" i="4"/>
  <c r="A3" i="4"/>
  <c r="A2" i="4"/>
  <c r="G37" i="1"/>
  <c r="B37" i="4" s="1"/>
  <c r="G36" i="1"/>
  <c r="B36" i="6" s="1"/>
  <c r="G35" i="1"/>
  <c r="B35" i="4" s="1"/>
  <c r="C35" i="4" s="1"/>
  <c r="G34" i="1"/>
  <c r="B34" i="6" s="1"/>
  <c r="G33" i="1"/>
  <c r="B33" i="6" s="1"/>
  <c r="G32" i="1"/>
  <c r="B32" i="6" s="1"/>
  <c r="G31" i="1"/>
  <c r="B31" i="4" s="1"/>
  <c r="C31" i="4" s="1"/>
  <c r="G30" i="1"/>
  <c r="B30" i="6" s="1"/>
  <c r="G29" i="1"/>
  <c r="G28" i="1"/>
  <c r="G27" i="1"/>
  <c r="G26" i="1"/>
  <c r="B26" i="6" s="1"/>
  <c r="G25" i="1"/>
  <c r="B25" i="6" s="1"/>
  <c r="G24" i="1"/>
  <c r="B24" i="6" s="1"/>
  <c r="G23" i="1"/>
  <c r="B23" i="4" s="1"/>
  <c r="G22" i="1"/>
  <c r="B22" i="4" s="1"/>
  <c r="G21" i="1"/>
  <c r="G20" i="1"/>
  <c r="B20" i="6" s="1"/>
  <c r="G19" i="1"/>
  <c r="B19" i="4" s="1"/>
  <c r="G18" i="1"/>
  <c r="B18" i="6" s="1"/>
  <c r="G17" i="1"/>
  <c r="B17" i="6" s="1"/>
  <c r="G16" i="1"/>
  <c r="B16" i="6" s="1"/>
  <c r="G15" i="1"/>
  <c r="B15" i="4" s="1"/>
  <c r="C15" i="4" s="1"/>
  <c r="D15" i="4" s="1"/>
  <c r="F15" i="4" s="1"/>
  <c r="G15" i="4" s="1"/>
  <c r="H15" i="4" s="1"/>
  <c r="G14" i="1"/>
  <c r="B14" i="4" s="1"/>
  <c r="G13" i="1"/>
  <c r="B13" i="4" s="1"/>
  <c r="G12" i="1"/>
  <c r="B12" i="6" s="1"/>
  <c r="G11" i="1"/>
  <c r="G10" i="1"/>
  <c r="B10" i="6" s="1"/>
  <c r="G9" i="1"/>
  <c r="B9" i="6" s="1"/>
  <c r="G8" i="1"/>
  <c r="B8" i="6" s="1"/>
  <c r="G7" i="1"/>
  <c r="B7" i="4" s="1"/>
  <c r="G6" i="1"/>
  <c r="B6" i="6" s="1"/>
  <c r="G5" i="1"/>
  <c r="B5" i="4" s="1"/>
  <c r="G4" i="1"/>
  <c r="B4" i="6" s="1"/>
  <c r="G3" i="1"/>
  <c r="B3" i="4" s="1"/>
  <c r="G2" i="1"/>
  <c r="B2" i="6" s="1"/>
  <c r="D12" i="9" l="1"/>
  <c r="F12" i="9" s="1"/>
  <c r="G12" i="9" s="1"/>
  <c r="H12" i="9" s="1"/>
  <c r="C20" i="9"/>
  <c r="D20" i="9" s="1"/>
  <c r="F20" i="9" s="1"/>
  <c r="G20" i="9" s="1"/>
  <c r="H20" i="9" s="1"/>
  <c r="C20" i="11"/>
  <c r="D20" i="11" s="1"/>
  <c r="F20" i="11" s="1"/>
  <c r="G20" i="11" s="1"/>
  <c r="H20" i="11" s="1"/>
  <c r="D4" i="11"/>
  <c r="F4" i="11" s="1"/>
  <c r="G4" i="11" s="1"/>
  <c r="H4" i="11" s="1"/>
  <c r="B2" i="4"/>
  <c r="C2" i="4" s="1"/>
  <c r="D2" i="4" s="1"/>
  <c r="F2" i="4" s="1"/>
  <c r="G2" i="4" s="1"/>
  <c r="H2" i="4" s="1"/>
  <c r="B8" i="4"/>
  <c r="C8" i="4" s="1"/>
  <c r="D8" i="4" s="1"/>
  <c r="F8" i="4" s="1"/>
  <c r="G8" i="4" s="1"/>
  <c r="H8" i="4" s="1"/>
  <c r="D21" i="4"/>
  <c r="F21" i="4" s="1"/>
  <c r="G21" i="4" s="1"/>
  <c r="H21" i="4" s="1"/>
  <c r="B17" i="4"/>
  <c r="B12" i="4"/>
  <c r="B30" i="4"/>
  <c r="C4" i="11"/>
  <c r="D37" i="10"/>
  <c r="F37" i="10" s="1"/>
  <c r="G37" i="10" s="1"/>
  <c r="H37" i="10" s="1"/>
  <c r="D27" i="12"/>
  <c r="F27" i="12" s="1"/>
  <c r="G27" i="12" s="1"/>
  <c r="H27" i="12" s="1"/>
  <c r="J27" i="12" s="1"/>
  <c r="C18" i="12"/>
  <c r="D18" i="12" s="1"/>
  <c r="F18" i="12" s="1"/>
  <c r="G18" i="12" s="1"/>
  <c r="H18" i="12" s="1"/>
  <c r="C27" i="12"/>
  <c r="D33" i="11"/>
  <c r="F33" i="11" s="1"/>
  <c r="G33" i="11" s="1"/>
  <c r="H33" i="11" s="1"/>
  <c r="K33" i="11" s="1"/>
  <c r="D19" i="11"/>
  <c r="F19" i="11" s="1"/>
  <c r="G19" i="11" s="1"/>
  <c r="H19" i="11" s="1"/>
  <c r="I19" i="11" s="1"/>
  <c r="C25" i="11"/>
  <c r="D25" i="11" s="1"/>
  <c r="F25" i="11" s="1"/>
  <c r="G25" i="11" s="1"/>
  <c r="H25" i="11" s="1"/>
  <c r="D35" i="11"/>
  <c r="F35" i="11" s="1"/>
  <c r="G35" i="11" s="1"/>
  <c r="H35" i="11" s="1"/>
  <c r="J35" i="11" s="1"/>
  <c r="D11" i="11"/>
  <c r="F11" i="11" s="1"/>
  <c r="G11" i="11" s="1"/>
  <c r="H11" i="11" s="1"/>
  <c r="I11" i="11" s="1"/>
  <c r="C17" i="11"/>
  <c r="D17" i="11" s="1"/>
  <c r="F17" i="11" s="1"/>
  <c r="G17" i="11" s="1"/>
  <c r="H17" i="11" s="1"/>
  <c r="D26" i="10"/>
  <c r="F26" i="10" s="1"/>
  <c r="G26" i="10" s="1"/>
  <c r="H26" i="10" s="1"/>
  <c r="K26" i="10" s="1"/>
  <c r="D18" i="10"/>
  <c r="F18" i="10" s="1"/>
  <c r="G18" i="10" s="1"/>
  <c r="H18" i="10" s="1"/>
  <c r="I18" i="10" s="1"/>
  <c r="C18" i="9"/>
  <c r="D18" i="9" s="1"/>
  <c r="F18" i="9" s="1"/>
  <c r="G18" i="9" s="1"/>
  <c r="H18" i="9" s="1"/>
  <c r="C26" i="8"/>
  <c r="D26" i="8" s="1"/>
  <c r="F26" i="8" s="1"/>
  <c r="G26" i="8" s="1"/>
  <c r="H26" i="8" s="1"/>
  <c r="C7" i="4"/>
  <c r="D7" i="4" s="1"/>
  <c r="F7" i="4" s="1"/>
  <c r="G7" i="4" s="1"/>
  <c r="H7" i="4" s="1"/>
  <c r="K21" i="4"/>
  <c r="J21" i="4"/>
  <c r="I21" i="4"/>
  <c r="K5" i="8"/>
  <c r="I5" i="8"/>
  <c r="J5" i="8"/>
  <c r="K15" i="4"/>
  <c r="J15" i="4"/>
  <c r="I15" i="4"/>
  <c r="J19" i="8"/>
  <c r="I19" i="8"/>
  <c r="K19" i="8"/>
  <c r="C3" i="4"/>
  <c r="D3" i="4" s="1"/>
  <c r="F3" i="4" s="1"/>
  <c r="G3" i="4" s="1"/>
  <c r="H3" i="4" s="1"/>
  <c r="K9" i="8"/>
  <c r="I9" i="8"/>
  <c r="J9" i="8"/>
  <c r="K13" i="8"/>
  <c r="I13" i="8"/>
  <c r="J13" i="8"/>
  <c r="K17" i="8"/>
  <c r="I17" i="8"/>
  <c r="J17" i="8"/>
  <c r="D5" i="4"/>
  <c r="F5" i="4" s="1"/>
  <c r="G5" i="4" s="1"/>
  <c r="H5" i="4" s="1"/>
  <c r="C5" i="4"/>
  <c r="C13" i="4"/>
  <c r="D13" i="4"/>
  <c r="F13" i="4" s="1"/>
  <c r="G13" i="4" s="1"/>
  <c r="H13" i="4" s="1"/>
  <c r="C37" i="4"/>
  <c r="D37" i="4" s="1"/>
  <c r="F37" i="4" s="1"/>
  <c r="G37" i="4" s="1"/>
  <c r="H37" i="4" s="1"/>
  <c r="J18" i="8"/>
  <c r="I18" i="8"/>
  <c r="K18" i="8"/>
  <c r="C14" i="4"/>
  <c r="D14" i="4" s="1"/>
  <c r="F14" i="4" s="1"/>
  <c r="G14" i="4" s="1"/>
  <c r="H14" i="4" s="1"/>
  <c r="C22" i="4"/>
  <c r="D22" i="4" s="1"/>
  <c r="F22" i="4" s="1"/>
  <c r="G22" i="4" s="1"/>
  <c r="H22" i="4" s="1"/>
  <c r="K7" i="8"/>
  <c r="J7" i="8"/>
  <c r="I7" i="8"/>
  <c r="B16" i="4"/>
  <c r="B26" i="4"/>
  <c r="B32" i="4"/>
  <c r="B33" i="4"/>
  <c r="B34" i="4"/>
  <c r="D35" i="4"/>
  <c r="F35" i="4" s="1"/>
  <c r="G35" i="4" s="1"/>
  <c r="H35" i="4" s="1"/>
  <c r="B13" i="6"/>
  <c r="B22" i="6"/>
  <c r="B31" i="6"/>
  <c r="K25" i="8"/>
  <c r="I25" i="8"/>
  <c r="J25" i="8"/>
  <c r="K13" i="9"/>
  <c r="J13" i="9"/>
  <c r="I13" i="9"/>
  <c r="K25" i="10"/>
  <c r="I25" i="10"/>
  <c r="J25" i="10"/>
  <c r="B11" i="6"/>
  <c r="B11" i="4"/>
  <c r="B27" i="6"/>
  <c r="B27" i="4"/>
  <c r="D30" i="4"/>
  <c r="F30" i="4" s="1"/>
  <c r="G30" i="4" s="1"/>
  <c r="H30" i="4" s="1"/>
  <c r="D31" i="4"/>
  <c r="F31" i="4" s="1"/>
  <c r="G31" i="4" s="1"/>
  <c r="H31" i="4" s="1"/>
  <c r="C3" i="8"/>
  <c r="D3" i="8" s="1"/>
  <c r="F3" i="8" s="1"/>
  <c r="G3" i="8" s="1"/>
  <c r="H3" i="8" s="1"/>
  <c r="J22" i="8"/>
  <c r="I22" i="8"/>
  <c r="A28" i="13"/>
  <c r="A28" i="14"/>
  <c r="C34" i="8"/>
  <c r="D34" i="8" s="1"/>
  <c r="F34" i="8" s="1"/>
  <c r="G34" i="8" s="1"/>
  <c r="H34" i="8" s="1"/>
  <c r="I37" i="8"/>
  <c r="K37" i="8"/>
  <c r="J37" i="8"/>
  <c r="K16" i="10"/>
  <c r="J16" i="10"/>
  <c r="I16" i="10"/>
  <c r="C4" i="4"/>
  <c r="D4" i="4" s="1"/>
  <c r="F4" i="4" s="1"/>
  <c r="G4" i="4" s="1"/>
  <c r="H4" i="4" s="1"/>
  <c r="C17" i="4"/>
  <c r="D17" i="4" s="1"/>
  <c r="F17" i="4" s="1"/>
  <c r="G17" i="4" s="1"/>
  <c r="H17" i="4" s="1"/>
  <c r="B18" i="4"/>
  <c r="C28" i="4"/>
  <c r="D28" i="4" s="1"/>
  <c r="F28" i="4" s="1"/>
  <c r="G28" i="4" s="1"/>
  <c r="H28" i="4" s="1"/>
  <c r="C29" i="4"/>
  <c r="D29" i="4" s="1"/>
  <c r="F29" i="4" s="1"/>
  <c r="G29" i="4" s="1"/>
  <c r="H29" i="4" s="1"/>
  <c r="C30" i="4"/>
  <c r="B3" i="6"/>
  <c r="B5" i="6"/>
  <c r="I4" i="8"/>
  <c r="D11" i="8"/>
  <c r="F11" i="8" s="1"/>
  <c r="G11" i="8" s="1"/>
  <c r="H11" i="8" s="1"/>
  <c r="D15" i="8"/>
  <c r="F15" i="8" s="1"/>
  <c r="G15" i="8" s="1"/>
  <c r="H15" i="8" s="1"/>
  <c r="K22" i="8"/>
  <c r="B9" i="4"/>
  <c r="C19" i="4"/>
  <c r="D19" i="4" s="1"/>
  <c r="F19" i="4" s="1"/>
  <c r="G19" i="4" s="1"/>
  <c r="H19" i="4" s="1"/>
  <c r="B20" i="4"/>
  <c r="B7" i="6"/>
  <c r="D2" i="8"/>
  <c r="F2" i="8" s="1"/>
  <c r="G2" i="8" s="1"/>
  <c r="H2" i="8" s="1"/>
  <c r="K4" i="8"/>
  <c r="D6" i="8"/>
  <c r="F6" i="8" s="1"/>
  <c r="G6" i="8" s="1"/>
  <c r="H6" i="8" s="1"/>
  <c r="A8" i="13"/>
  <c r="A8" i="14"/>
  <c r="C9" i="9"/>
  <c r="D9" i="9" s="1"/>
  <c r="F9" i="9" s="1"/>
  <c r="G9" i="9" s="1"/>
  <c r="H9" i="9" s="1"/>
  <c r="B10" i="4"/>
  <c r="B23" i="6"/>
  <c r="D8" i="8"/>
  <c r="F8" i="8" s="1"/>
  <c r="G8" i="8" s="1"/>
  <c r="H8" i="8" s="1"/>
  <c r="K21" i="8"/>
  <c r="I21" i="8"/>
  <c r="K30" i="8"/>
  <c r="I30" i="8"/>
  <c r="J30" i="8"/>
  <c r="K32" i="8"/>
  <c r="I32" i="8"/>
  <c r="J32" i="8"/>
  <c r="C2" i="10"/>
  <c r="D2" i="10" s="1"/>
  <c r="F2" i="10" s="1"/>
  <c r="G2" i="10" s="1"/>
  <c r="H2" i="10" s="1"/>
  <c r="B6" i="4"/>
  <c r="B14" i="6"/>
  <c r="B19" i="6"/>
  <c r="A4" i="13"/>
  <c r="A4" i="14"/>
  <c r="C12" i="8"/>
  <c r="D12" i="8" s="1"/>
  <c r="F12" i="8" s="1"/>
  <c r="G12" i="8" s="1"/>
  <c r="H12" i="8" s="1"/>
  <c r="J21" i="8"/>
  <c r="I5" i="9"/>
  <c r="K5" i="9"/>
  <c r="J5" i="9"/>
  <c r="I17" i="10"/>
  <c r="K17" i="10"/>
  <c r="J17" i="10"/>
  <c r="I22" i="10"/>
  <c r="K22" i="10"/>
  <c r="J22" i="10"/>
  <c r="C12" i="4"/>
  <c r="D12" i="4" s="1"/>
  <c r="F12" i="4" s="1"/>
  <c r="G12" i="4" s="1"/>
  <c r="H12" i="4" s="1"/>
  <c r="C23" i="4"/>
  <c r="D23" i="4" s="1"/>
  <c r="F23" i="4" s="1"/>
  <c r="G23" i="4" s="1"/>
  <c r="H23" i="4" s="1"/>
  <c r="B24" i="4"/>
  <c r="B35" i="6"/>
  <c r="B37" i="6"/>
  <c r="D10" i="8"/>
  <c r="F10" i="8" s="1"/>
  <c r="G10" i="8" s="1"/>
  <c r="H10" i="8" s="1"/>
  <c r="D14" i="8"/>
  <c r="F14" i="8" s="1"/>
  <c r="G14" i="8" s="1"/>
  <c r="H14" i="8" s="1"/>
  <c r="J23" i="8"/>
  <c r="I23" i="8"/>
  <c r="B25" i="4"/>
  <c r="B36" i="4"/>
  <c r="B15" i="6"/>
  <c r="B23" i="13"/>
  <c r="B23" i="14"/>
  <c r="I29" i="8"/>
  <c r="J29" i="8"/>
  <c r="K29" i="8"/>
  <c r="I30" i="10"/>
  <c r="K30" i="10"/>
  <c r="J30" i="10"/>
  <c r="A9" i="14"/>
  <c r="A9" i="13"/>
  <c r="A11" i="14"/>
  <c r="A11" i="13"/>
  <c r="A12" i="14"/>
  <c r="A12" i="13"/>
  <c r="A13" i="13"/>
  <c r="A13" i="14"/>
  <c r="A15" i="13"/>
  <c r="A15" i="14"/>
  <c r="A16" i="14"/>
  <c r="A16" i="13"/>
  <c r="A17" i="13"/>
  <c r="A17" i="14"/>
  <c r="A19" i="13"/>
  <c r="A19" i="14"/>
  <c r="A20" i="14"/>
  <c r="A20" i="13"/>
  <c r="A21" i="13"/>
  <c r="A21" i="14"/>
  <c r="A23" i="13"/>
  <c r="A23" i="14"/>
  <c r="A24" i="14"/>
  <c r="A24" i="13"/>
  <c r="A25" i="13"/>
  <c r="A25" i="14"/>
  <c r="K36" i="8"/>
  <c r="J36" i="8"/>
  <c r="K2" i="9"/>
  <c r="I2" i="9"/>
  <c r="K4" i="9"/>
  <c r="J4" i="9"/>
  <c r="K6" i="9"/>
  <c r="I6" i="9"/>
  <c r="K8" i="9"/>
  <c r="J8" i="9"/>
  <c r="K12" i="9"/>
  <c r="J12" i="9"/>
  <c r="I12" i="9"/>
  <c r="K9" i="10"/>
  <c r="J9" i="10"/>
  <c r="I9" i="10"/>
  <c r="K13" i="10"/>
  <c r="J13" i="10"/>
  <c r="I13" i="10"/>
  <c r="K24" i="10"/>
  <c r="J24" i="10"/>
  <c r="I24" i="10"/>
  <c r="K9" i="12"/>
  <c r="J9" i="12"/>
  <c r="I9" i="12"/>
  <c r="D20" i="8"/>
  <c r="F20" i="8" s="1"/>
  <c r="G20" i="8" s="1"/>
  <c r="H20" i="8" s="1"/>
  <c r="D24" i="8"/>
  <c r="F24" i="8" s="1"/>
  <c r="G24" i="8" s="1"/>
  <c r="H24" i="8" s="1"/>
  <c r="A29" i="13"/>
  <c r="A29" i="14"/>
  <c r="A33" i="13"/>
  <c r="A33" i="14"/>
  <c r="I36" i="8"/>
  <c r="J2" i="9"/>
  <c r="I4" i="9"/>
  <c r="K17" i="9"/>
  <c r="J17" i="9"/>
  <c r="I17" i="9"/>
  <c r="K37" i="9"/>
  <c r="J37" i="9"/>
  <c r="I37" i="9"/>
  <c r="K5" i="10"/>
  <c r="J5" i="10"/>
  <c r="I5" i="10"/>
  <c r="K29" i="10"/>
  <c r="I29" i="10"/>
  <c r="J29" i="10"/>
  <c r="A3" i="14"/>
  <c r="A3" i="13"/>
  <c r="C16" i="8"/>
  <c r="D16" i="8" s="1"/>
  <c r="F16" i="8" s="1"/>
  <c r="G16" i="8" s="1"/>
  <c r="H16" i="8" s="1"/>
  <c r="D33" i="8"/>
  <c r="F33" i="8" s="1"/>
  <c r="G33" i="8" s="1"/>
  <c r="H33" i="8" s="1"/>
  <c r="A35" i="14"/>
  <c r="A35" i="13"/>
  <c r="A37" i="13"/>
  <c r="A37" i="14"/>
  <c r="K21" i="9"/>
  <c r="J21" i="9"/>
  <c r="I21" i="9"/>
  <c r="K25" i="9"/>
  <c r="J25" i="9"/>
  <c r="I25" i="9"/>
  <c r="K29" i="9"/>
  <c r="J29" i="9"/>
  <c r="I29" i="9"/>
  <c r="K33" i="9"/>
  <c r="J33" i="9"/>
  <c r="I33" i="9"/>
  <c r="C10" i="10"/>
  <c r="D10" i="10" s="1"/>
  <c r="F10" i="10" s="1"/>
  <c r="G10" i="10" s="1"/>
  <c r="H10" i="10" s="1"/>
  <c r="K20" i="10"/>
  <c r="J20" i="10"/>
  <c r="I20" i="10"/>
  <c r="A5" i="13"/>
  <c r="A5" i="14"/>
  <c r="D28" i="8"/>
  <c r="F28" i="8" s="1"/>
  <c r="G28" i="8" s="1"/>
  <c r="H28" i="8" s="1"/>
  <c r="C26" i="9"/>
  <c r="D26" i="9" s="1"/>
  <c r="F26" i="9" s="1"/>
  <c r="G26" i="9" s="1"/>
  <c r="H26" i="9" s="1"/>
  <c r="C30" i="9"/>
  <c r="D30" i="9" s="1"/>
  <c r="F30" i="9" s="1"/>
  <c r="G30" i="9" s="1"/>
  <c r="H30" i="9" s="1"/>
  <c r="K8" i="10"/>
  <c r="J8" i="10"/>
  <c r="I8" i="10"/>
  <c r="C15" i="10"/>
  <c r="D15" i="10" s="1"/>
  <c r="F15" i="10" s="1"/>
  <c r="G15" i="10" s="1"/>
  <c r="H15" i="10" s="1"/>
  <c r="A27" i="14"/>
  <c r="A27" i="13"/>
  <c r="C10" i="9"/>
  <c r="D10" i="9" s="1"/>
  <c r="F10" i="9" s="1"/>
  <c r="G10" i="9" s="1"/>
  <c r="H10" i="9" s="1"/>
  <c r="C14" i="9"/>
  <c r="D14" i="9" s="1"/>
  <c r="F14" i="9" s="1"/>
  <c r="G14" i="9" s="1"/>
  <c r="H14" i="9" s="1"/>
  <c r="K24" i="9"/>
  <c r="J24" i="9"/>
  <c r="I24" i="9"/>
  <c r="K36" i="9"/>
  <c r="J36" i="9"/>
  <c r="I36" i="9"/>
  <c r="C7" i="10"/>
  <c r="D7" i="10" s="1"/>
  <c r="F7" i="10" s="1"/>
  <c r="G7" i="10" s="1"/>
  <c r="H7" i="10" s="1"/>
  <c r="K21" i="10"/>
  <c r="I21" i="10"/>
  <c r="J21" i="10"/>
  <c r="A7" i="13"/>
  <c r="A7" i="14"/>
  <c r="D27" i="8"/>
  <c r="F27" i="8" s="1"/>
  <c r="G27" i="8" s="1"/>
  <c r="H27" i="8" s="1"/>
  <c r="A36" i="13"/>
  <c r="A36" i="14"/>
  <c r="K16" i="9"/>
  <c r="J16" i="9"/>
  <c r="I16" i="9"/>
  <c r="K28" i="9"/>
  <c r="J28" i="9"/>
  <c r="I28" i="9"/>
  <c r="C35" i="9"/>
  <c r="D35" i="9" s="1"/>
  <c r="F35" i="9" s="1"/>
  <c r="G35" i="9" s="1"/>
  <c r="H35" i="9" s="1"/>
  <c r="D31" i="8"/>
  <c r="F31" i="8" s="1"/>
  <c r="G31" i="8" s="1"/>
  <c r="H31" i="8" s="1"/>
  <c r="A32" i="14"/>
  <c r="A32" i="13"/>
  <c r="C27" i="9"/>
  <c r="D27" i="9" s="1"/>
  <c r="F27" i="9" s="1"/>
  <c r="G27" i="9" s="1"/>
  <c r="H27" i="9" s="1"/>
  <c r="K33" i="10"/>
  <c r="I33" i="10"/>
  <c r="J33" i="10"/>
  <c r="K37" i="10"/>
  <c r="I37" i="10"/>
  <c r="J37" i="10"/>
  <c r="K8" i="11"/>
  <c r="I8" i="11"/>
  <c r="J8" i="11"/>
  <c r="K35" i="11"/>
  <c r="C14" i="12"/>
  <c r="D14" i="12" s="1"/>
  <c r="F14" i="12" s="1"/>
  <c r="G14" i="12" s="1"/>
  <c r="H14" i="12" s="1"/>
  <c r="A34" i="13"/>
  <c r="A34" i="14"/>
  <c r="C23" i="9"/>
  <c r="D23" i="9" s="1"/>
  <c r="F23" i="9" s="1"/>
  <c r="G23" i="9" s="1"/>
  <c r="H23" i="9" s="1"/>
  <c r="K4" i="11"/>
  <c r="I4" i="11"/>
  <c r="J4" i="11"/>
  <c r="K13" i="11"/>
  <c r="J13" i="11"/>
  <c r="I13" i="11"/>
  <c r="K16" i="11"/>
  <c r="I16" i="11"/>
  <c r="J16" i="11"/>
  <c r="K28" i="11"/>
  <c r="J28" i="11"/>
  <c r="I28" i="11"/>
  <c r="D35" i="8"/>
  <c r="F35" i="8" s="1"/>
  <c r="G35" i="8" s="1"/>
  <c r="H35" i="8" s="1"/>
  <c r="D3" i="9"/>
  <c r="F3" i="9" s="1"/>
  <c r="G3" i="9" s="1"/>
  <c r="H3" i="9" s="1"/>
  <c r="D7" i="9"/>
  <c r="F7" i="9" s="1"/>
  <c r="G7" i="9" s="1"/>
  <c r="H7" i="9" s="1"/>
  <c r="D19" i="9"/>
  <c r="F19" i="9" s="1"/>
  <c r="G19" i="9" s="1"/>
  <c r="H19" i="9" s="1"/>
  <c r="C19" i="9"/>
  <c r="K32" i="10"/>
  <c r="I32" i="10"/>
  <c r="J32" i="10"/>
  <c r="K36" i="10"/>
  <c r="I36" i="10"/>
  <c r="J36" i="10"/>
  <c r="K9" i="11"/>
  <c r="J9" i="11"/>
  <c r="I9" i="11"/>
  <c r="K24" i="11"/>
  <c r="J24" i="11"/>
  <c r="I24" i="11"/>
  <c r="K36" i="11"/>
  <c r="J36" i="11"/>
  <c r="I36" i="11"/>
  <c r="C31" i="9"/>
  <c r="D31" i="9" s="1"/>
  <c r="F31" i="9" s="1"/>
  <c r="G31" i="9" s="1"/>
  <c r="H31" i="9" s="1"/>
  <c r="K32" i="9"/>
  <c r="J32" i="9"/>
  <c r="C3" i="10"/>
  <c r="D3" i="10" s="1"/>
  <c r="F3" i="10" s="1"/>
  <c r="G3" i="10" s="1"/>
  <c r="H3" i="10" s="1"/>
  <c r="K4" i="10"/>
  <c r="J4" i="10"/>
  <c r="C11" i="10"/>
  <c r="D11" i="10" s="1"/>
  <c r="F11" i="10" s="1"/>
  <c r="G11" i="10" s="1"/>
  <c r="H11" i="10" s="1"/>
  <c r="K12" i="10"/>
  <c r="J12" i="10"/>
  <c r="K12" i="11"/>
  <c r="I12" i="11"/>
  <c r="J12" i="11"/>
  <c r="K8" i="12"/>
  <c r="J8" i="12"/>
  <c r="I8" i="12"/>
  <c r="A30" i="14"/>
  <c r="A30" i="13"/>
  <c r="C15" i="9"/>
  <c r="D15" i="9" s="1"/>
  <c r="F15" i="9" s="1"/>
  <c r="G15" i="9" s="1"/>
  <c r="H15" i="9" s="1"/>
  <c r="D22" i="9"/>
  <c r="F22" i="9" s="1"/>
  <c r="G22" i="9" s="1"/>
  <c r="H22" i="9" s="1"/>
  <c r="I32" i="9"/>
  <c r="D34" i="9"/>
  <c r="F34" i="9" s="1"/>
  <c r="G34" i="9" s="1"/>
  <c r="H34" i="9" s="1"/>
  <c r="I4" i="10"/>
  <c r="D6" i="10"/>
  <c r="F6" i="10" s="1"/>
  <c r="G6" i="10" s="1"/>
  <c r="H6" i="10" s="1"/>
  <c r="I12" i="10"/>
  <c r="D14" i="10"/>
  <c r="F14" i="10" s="1"/>
  <c r="G14" i="10" s="1"/>
  <c r="H14" i="10" s="1"/>
  <c r="K5" i="11"/>
  <c r="I5" i="11"/>
  <c r="J5" i="11"/>
  <c r="C10" i="11"/>
  <c r="D10" i="11" s="1"/>
  <c r="F10" i="11" s="1"/>
  <c r="G10" i="11" s="1"/>
  <c r="H10" i="11" s="1"/>
  <c r="C22" i="11"/>
  <c r="D22" i="11" s="1"/>
  <c r="F22" i="11" s="1"/>
  <c r="G22" i="11" s="1"/>
  <c r="H22" i="11" s="1"/>
  <c r="A2" i="13"/>
  <c r="A2" i="14"/>
  <c r="A6" i="13"/>
  <c r="A6" i="14"/>
  <c r="A10" i="13"/>
  <c r="A10" i="14"/>
  <c r="A14" i="14"/>
  <c r="A14" i="13"/>
  <c r="A18" i="14"/>
  <c r="A18" i="13"/>
  <c r="A22" i="13"/>
  <c r="A22" i="14"/>
  <c r="A26" i="14"/>
  <c r="A26" i="13"/>
  <c r="A31" i="13"/>
  <c r="A31" i="14"/>
  <c r="C11" i="9"/>
  <c r="D11" i="9" s="1"/>
  <c r="F11" i="9" s="1"/>
  <c r="G11" i="9" s="1"/>
  <c r="H11" i="9" s="1"/>
  <c r="K15" i="11"/>
  <c r="J15" i="11"/>
  <c r="I15" i="11"/>
  <c r="K4" i="12"/>
  <c r="J4" i="12"/>
  <c r="I4" i="12"/>
  <c r="K36" i="12"/>
  <c r="I36" i="12"/>
  <c r="J36" i="12"/>
  <c r="D19" i="10"/>
  <c r="F19" i="10" s="1"/>
  <c r="G19" i="10" s="1"/>
  <c r="H19" i="10" s="1"/>
  <c r="D23" i="10"/>
  <c r="F23" i="10" s="1"/>
  <c r="G23" i="10" s="1"/>
  <c r="H23" i="10" s="1"/>
  <c r="D27" i="10"/>
  <c r="F27" i="10" s="1"/>
  <c r="G27" i="10" s="1"/>
  <c r="H27" i="10" s="1"/>
  <c r="D28" i="10"/>
  <c r="F28" i="10" s="1"/>
  <c r="G28" i="10" s="1"/>
  <c r="H28" i="10" s="1"/>
  <c r="D31" i="10"/>
  <c r="F31" i="10" s="1"/>
  <c r="G31" i="10" s="1"/>
  <c r="H31" i="10" s="1"/>
  <c r="D35" i="10"/>
  <c r="F35" i="10" s="1"/>
  <c r="G35" i="10" s="1"/>
  <c r="H35" i="10" s="1"/>
  <c r="D3" i="11"/>
  <c r="F3" i="11" s="1"/>
  <c r="G3" i="11" s="1"/>
  <c r="H3" i="11" s="1"/>
  <c r="D7" i="11"/>
  <c r="F7" i="11" s="1"/>
  <c r="G7" i="11" s="1"/>
  <c r="H7" i="11" s="1"/>
  <c r="C26" i="11"/>
  <c r="D26" i="11" s="1"/>
  <c r="F26" i="11" s="1"/>
  <c r="G26" i="11" s="1"/>
  <c r="H26" i="11" s="1"/>
  <c r="K32" i="11"/>
  <c r="J32" i="11"/>
  <c r="I32" i="11"/>
  <c r="K3" i="12"/>
  <c r="J3" i="12"/>
  <c r="B11" i="18"/>
  <c r="F11" i="13"/>
  <c r="K30" i="12"/>
  <c r="J30" i="12"/>
  <c r="I30" i="12"/>
  <c r="C34" i="10"/>
  <c r="D34" i="10" s="1"/>
  <c r="F34" i="10" s="1"/>
  <c r="G34" i="10" s="1"/>
  <c r="H34" i="10" s="1"/>
  <c r="C2" i="11"/>
  <c r="D2" i="11" s="1"/>
  <c r="F2" i="11" s="1"/>
  <c r="G2" i="11" s="1"/>
  <c r="H2" i="11" s="1"/>
  <c r="C6" i="11"/>
  <c r="D6" i="11" s="1"/>
  <c r="F6" i="11" s="1"/>
  <c r="G6" i="11" s="1"/>
  <c r="H6" i="11" s="1"/>
  <c r="C18" i="11"/>
  <c r="D18" i="11" s="1"/>
  <c r="F18" i="11" s="1"/>
  <c r="G18" i="11" s="1"/>
  <c r="H18" i="11" s="1"/>
  <c r="K31" i="11"/>
  <c r="J31" i="11"/>
  <c r="I3" i="12"/>
  <c r="K5" i="12"/>
  <c r="J5" i="12"/>
  <c r="I5" i="12"/>
  <c r="C20" i="12"/>
  <c r="D20" i="12" s="1"/>
  <c r="F20" i="12" s="1"/>
  <c r="G20" i="12" s="1"/>
  <c r="H20" i="12" s="1"/>
  <c r="K22" i="12"/>
  <c r="J22" i="12"/>
  <c r="I22" i="12"/>
  <c r="C31" i="12"/>
  <c r="D31" i="12" s="1"/>
  <c r="F31" i="12" s="1"/>
  <c r="G31" i="12" s="1"/>
  <c r="H31" i="12" s="1"/>
  <c r="K27" i="11"/>
  <c r="J27" i="11"/>
  <c r="K37" i="11"/>
  <c r="J37" i="11"/>
  <c r="I37" i="11"/>
  <c r="C10" i="12"/>
  <c r="D10" i="12" s="1"/>
  <c r="F10" i="12" s="1"/>
  <c r="G10" i="12" s="1"/>
  <c r="H10" i="12" s="1"/>
  <c r="K23" i="11"/>
  <c r="J23" i="11"/>
  <c r="C6" i="12"/>
  <c r="D6" i="12" s="1"/>
  <c r="F6" i="12" s="1"/>
  <c r="G6" i="12" s="1"/>
  <c r="H6" i="12" s="1"/>
  <c r="I15" i="12"/>
  <c r="J15" i="12"/>
  <c r="K15" i="12"/>
  <c r="K25" i="12"/>
  <c r="J25" i="12"/>
  <c r="I25" i="12"/>
  <c r="I27" i="11"/>
  <c r="K29" i="11"/>
  <c r="J29" i="11"/>
  <c r="I29" i="11"/>
  <c r="C2" i="12"/>
  <c r="D2" i="12" s="1"/>
  <c r="F2" i="12" s="1"/>
  <c r="G2" i="12" s="1"/>
  <c r="H2" i="12" s="1"/>
  <c r="C14" i="11"/>
  <c r="D14" i="11" s="1"/>
  <c r="F14" i="11" s="1"/>
  <c r="G14" i="11" s="1"/>
  <c r="H14" i="11" s="1"/>
  <c r="I23" i="11"/>
  <c r="C34" i="11"/>
  <c r="D34" i="11" s="1"/>
  <c r="F34" i="11" s="1"/>
  <c r="G34" i="11" s="1"/>
  <c r="H34" i="11" s="1"/>
  <c r="J11" i="12"/>
  <c r="I11" i="12"/>
  <c r="B23" i="18"/>
  <c r="F23" i="13"/>
  <c r="K26" i="12"/>
  <c r="J26" i="12"/>
  <c r="I26" i="12"/>
  <c r="K29" i="12"/>
  <c r="J29" i="12"/>
  <c r="I29" i="12"/>
  <c r="K35" i="12"/>
  <c r="J35" i="12"/>
  <c r="I35" i="12"/>
  <c r="K21" i="11"/>
  <c r="J21" i="11"/>
  <c r="I21" i="11"/>
  <c r="C30" i="11"/>
  <c r="D30" i="11" s="1"/>
  <c r="F30" i="11" s="1"/>
  <c r="G30" i="11" s="1"/>
  <c r="H30" i="11" s="1"/>
  <c r="K7" i="12"/>
  <c r="J7" i="12"/>
  <c r="K13" i="12"/>
  <c r="J13" i="12"/>
  <c r="I13" i="12"/>
  <c r="D12" i="12"/>
  <c r="F12" i="12" s="1"/>
  <c r="G12" i="12" s="1"/>
  <c r="H12" i="12" s="1"/>
  <c r="C24" i="12"/>
  <c r="D24" i="12" s="1"/>
  <c r="F24" i="12" s="1"/>
  <c r="G24" i="12" s="1"/>
  <c r="H24" i="12" s="1"/>
  <c r="K17" i="12"/>
  <c r="J17" i="12"/>
  <c r="C28" i="12"/>
  <c r="D28" i="12" s="1"/>
  <c r="F28" i="12" s="1"/>
  <c r="G28" i="12" s="1"/>
  <c r="H28" i="12" s="1"/>
  <c r="C16" i="12"/>
  <c r="D16" i="12" s="1"/>
  <c r="F16" i="12" s="1"/>
  <c r="G16" i="12" s="1"/>
  <c r="H16" i="12" s="1"/>
  <c r="I17" i="12"/>
  <c r="D19" i="12"/>
  <c r="F19" i="12" s="1"/>
  <c r="G19" i="12" s="1"/>
  <c r="H19" i="12" s="1"/>
  <c r="I32" i="12"/>
  <c r="J32" i="12"/>
  <c r="K32" i="12"/>
  <c r="K21" i="12"/>
  <c r="J21" i="12"/>
  <c r="I23" i="12"/>
  <c r="J23" i="12"/>
  <c r="C33" i="12"/>
  <c r="D33" i="12" s="1"/>
  <c r="F33" i="12" s="1"/>
  <c r="G33" i="12" s="1"/>
  <c r="H33" i="12" s="1"/>
  <c r="D37" i="12"/>
  <c r="F37" i="12" s="1"/>
  <c r="G37" i="12" s="1"/>
  <c r="H37" i="12" s="1"/>
  <c r="C34" i="12"/>
  <c r="D34" i="12" s="1"/>
  <c r="F34" i="12" s="1"/>
  <c r="G34" i="12" s="1"/>
  <c r="H34" i="12" s="1"/>
  <c r="J20" i="11" l="1"/>
  <c r="I20" i="11"/>
  <c r="K20" i="11"/>
  <c r="K25" i="11"/>
  <c r="J25" i="11"/>
  <c r="I25" i="11"/>
  <c r="I20" i="9"/>
  <c r="K20" i="9"/>
  <c r="B20" i="15" s="1"/>
  <c r="J20" i="9"/>
  <c r="C37" i="6"/>
  <c r="G37" i="6" s="1"/>
  <c r="C17" i="6"/>
  <c r="G17" i="6" s="1"/>
  <c r="K27" i="12"/>
  <c r="I27" i="12"/>
  <c r="J19" i="11"/>
  <c r="K19" i="11"/>
  <c r="E19" i="13" s="1"/>
  <c r="I33" i="11"/>
  <c r="J33" i="11"/>
  <c r="I35" i="11"/>
  <c r="I26" i="10"/>
  <c r="I18" i="12"/>
  <c r="J18" i="12"/>
  <c r="K18" i="12"/>
  <c r="F18" i="13" s="1"/>
  <c r="K17" i="11"/>
  <c r="E17" i="13" s="1"/>
  <c r="J17" i="11"/>
  <c r="I17" i="11"/>
  <c r="J11" i="11"/>
  <c r="K11" i="11"/>
  <c r="E11" i="13" s="1"/>
  <c r="J18" i="10"/>
  <c r="J26" i="10"/>
  <c r="K18" i="10"/>
  <c r="D18" i="13" s="1"/>
  <c r="I18" i="9"/>
  <c r="K18" i="9"/>
  <c r="J18" i="9"/>
  <c r="J26" i="8"/>
  <c r="I26" i="8"/>
  <c r="K26" i="8"/>
  <c r="B26" i="14" s="1"/>
  <c r="J35" i="9"/>
  <c r="I35" i="9"/>
  <c r="K35" i="9"/>
  <c r="J24" i="12"/>
  <c r="K24" i="12"/>
  <c r="I24" i="12"/>
  <c r="J10" i="12"/>
  <c r="I10" i="12"/>
  <c r="K10" i="12"/>
  <c r="J26" i="11"/>
  <c r="I26" i="11"/>
  <c r="K26" i="11"/>
  <c r="J3" i="10"/>
  <c r="K3" i="10"/>
  <c r="I3" i="10"/>
  <c r="J7" i="10"/>
  <c r="I7" i="10"/>
  <c r="K7" i="10"/>
  <c r="J9" i="9"/>
  <c r="I9" i="9"/>
  <c r="K9" i="9"/>
  <c r="K34" i="8"/>
  <c r="I34" i="8"/>
  <c r="J34" i="8"/>
  <c r="K22" i="4"/>
  <c r="J22" i="4"/>
  <c r="I22" i="4"/>
  <c r="K23" i="4"/>
  <c r="J23" i="4"/>
  <c r="I23" i="4"/>
  <c r="J12" i="8"/>
  <c r="I12" i="8"/>
  <c r="K12" i="8"/>
  <c r="J28" i="4"/>
  <c r="I28" i="4"/>
  <c r="K28" i="4"/>
  <c r="K29" i="4"/>
  <c r="J29" i="4"/>
  <c r="I29" i="4"/>
  <c r="J18" i="11"/>
  <c r="I18" i="11"/>
  <c r="K18" i="11"/>
  <c r="J15" i="9"/>
  <c r="I15" i="9"/>
  <c r="K15" i="9"/>
  <c r="J20" i="12"/>
  <c r="K20" i="12"/>
  <c r="I20" i="12"/>
  <c r="I6" i="11"/>
  <c r="K6" i="11"/>
  <c r="J6" i="11"/>
  <c r="J31" i="9"/>
  <c r="K31" i="9"/>
  <c r="I31" i="9"/>
  <c r="J2" i="12"/>
  <c r="I2" i="12"/>
  <c r="K2" i="12"/>
  <c r="I2" i="11"/>
  <c r="K2" i="11"/>
  <c r="J2" i="11"/>
  <c r="J22" i="11"/>
  <c r="I22" i="11"/>
  <c r="K22" i="11"/>
  <c r="K2" i="4"/>
  <c r="J2" i="4"/>
  <c r="I2" i="4"/>
  <c r="K3" i="4"/>
  <c r="J3" i="4"/>
  <c r="I3" i="4"/>
  <c r="J34" i="11"/>
  <c r="I34" i="11"/>
  <c r="K34" i="11"/>
  <c r="I34" i="10"/>
  <c r="K34" i="10"/>
  <c r="J34" i="10"/>
  <c r="J11" i="10"/>
  <c r="K11" i="10"/>
  <c r="I11" i="10"/>
  <c r="J15" i="10"/>
  <c r="I15" i="10"/>
  <c r="K15" i="10"/>
  <c r="J16" i="8"/>
  <c r="I16" i="8"/>
  <c r="K16" i="8"/>
  <c r="I8" i="4"/>
  <c r="K8" i="4"/>
  <c r="J8" i="4"/>
  <c r="K3" i="8"/>
  <c r="I3" i="8"/>
  <c r="J3" i="8"/>
  <c r="J30" i="11"/>
  <c r="I30" i="11"/>
  <c r="K30" i="11"/>
  <c r="J16" i="12"/>
  <c r="K16" i="12"/>
  <c r="I16" i="12"/>
  <c r="J23" i="9"/>
  <c r="K23" i="9"/>
  <c r="I23" i="9"/>
  <c r="J34" i="12"/>
  <c r="K34" i="12"/>
  <c r="I34" i="12"/>
  <c r="I30" i="9"/>
  <c r="J30" i="9"/>
  <c r="K30" i="9"/>
  <c r="J28" i="12"/>
  <c r="K28" i="12"/>
  <c r="I28" i="12"/>
  <c r="K7" i="4"/>
  <c r="J7" i="4"/>
  <c r="I7" i="4"/>
  <c r="I37" i="12"/>
  <c r="K37" i="12"/>
  <c r="J37" i="12"/>
  <c r="B37" i="17"/>
  <c r="E37" i="13"/>
  <c r="K19" i="10"/>
  <c r="J19" i="10"/>
  <c r="I19" i="10"/>
  <c r="I6" i="10"/>
  <c r="J6" i="10"/>
  <c r="K6" i="10"/>
  <c r="E36" i="13"/>
  <c r="B36" i="17"/>
  <c r="J3" i="9"/>
  <c r="K3" i="9"/>
  <c r="I3" i="9"/>
  <c r="C17" i="13"/>
  <c r="B17" i="15"/>
  <c r="J24" i="8"/>
  <c r="I24" i="8"/>
  <c r="K24" i="8"/>
  <c r="C12" i="13"/>
  <c r="B12" i="15"/>
  <c r="C2" i="13"/>
  <c r="B2" i="15"/>
  <c r="B29" i="14"/>
  <c r="B29" i="13"/>
  <c r="C25" i="6"/>
  <c r="G25" i="6" s="1"/>
  <c r="C24" i="4"/>
  <c r="D24" i="4" s="1"/>
  <c r="F24" i="4" s="1"/>
  <c r="G24" i="4" s="1"/>
  <c r="H24" i="4" s="1"/>
  <c r="C19" i="6"/>
  <c r="G19" i="6" s="1"/>
  <c r="J8" i="8"/>
  <c r="I8" i="8"/>
  <c r="K8" i="8"/>
  <c r="B4" i="14"/>
  <c r="B4" i="13"/>
  <c r="J11" i="8"/>
  <c r="I11" i="8"/>
  <c r="K11" i="8"/>
  <c r="C27" i="6"/>
  <c r="G27" i="6" s="1"/>
  <c r="B13" i="15"/>
  <c r="C13" i="13"/>
  <c r="C34" i="4"/>
  <c r="D34" i="4" s="1"/>
  <c r="F34" i="4" s="1"/>
  <c r="G34" i="4" s="1"/>
  <c r="H34" i="4" s="1"/>
  <c r="C12" i="6"/>
  <c r="G12" i="6" s="1"/>
  <c r="C33" i="6"/>
  <c r="G33" i="6" s="1"/>
  <c r="C8" i="6"/>
  <c r="G8" i="6" s="1"/>
  <c r="E21" i="13"/>
  <c r="B21" i="17"/>
  <c r="K27" i="10"/>
  <c r="J27" i="10"/>
  <c r="I27" i="10"/>
  <c r="B4" i="18"/>
  <c r="F4" i="13"/>
  <c r="I14" i="10"/>
  <c r="J14" i="10"/>
  <c r="K14" i="10"/>
  <c r="J27" i="9"/>
  <c r="I27" i="9"/>
  <c r="K27" i="9"/>
  <c r="C29" i="13"/>
  <c r="B29" i="15"/>
  <c r="B30" i="16"/>
  <c r="D30" i="13"/>
  <c r="K23" i="10"/>
  <c r="J23" i="10"/>
  <c r="I23" i="10"/>
  <c r="F17" i="13"/>
  <c r="B17" i="18"/>
  <c r="B7" i="18"/>
  <c r="F7" i="13"/>
  <c r="B35" i="18"/>
  <c r="F35" i="13"/>
  <c r="B25" i="18"/>
  <c r="F25" i="13"/>
  <c r="E33" i="13"/>
  <c r="B33" i="17"/>
  <c r="E32" i="13"/>
  <c r="B32" i="17"/>
  <c r="K7" i="11"/>
  <c r="J7" i="11"/>
  <c r="I7" i="11"/>
  <c r="E20" i="13"/>
  <c r="B20" i="17"/>
  <c r="B12" i="16"/>
  <c r="D12" i="13"/>
  <c r="B32" i="15"/>
  <c r="C32" i="13"/>
  <c r="B36" i="16"/>
  <c r="D36" i="13"/>
  <c r="J35" i="8"/>
  <c r="K35" i="8"/>
  <c r="I35" i="8"/>
  <c r="B37" i="16"/>
  <c r="D37" i="13"/>
  <c r="K31" i="8"/>
  <c r="J31" i="8"/>
  <c r="I31" i="8"/>
  <c r="B16" i="15"/>
  <c r="C16" i="13"/>
  <c r="B21" i="16"/>
  <c r="D21" i="13"/>
  <c r="B24" i="15"/>
  <c r="C24" i="13"/>
  <c r="K28" i="8"/>
  <c r="J28" i="8"/>
  <c r="I28" i="8"/>
  <c r="C25" i="13"/>
  <c r="B25" i="15"/>
  <c r="I33" i="8"/>
  <c r="J33" i="8"/>
  <c r="K33" i="8"/>
  <c r="J20" i="8"/>
  <c r="I20" i="8"/>
  <c r="K20" i="8"/>
  <c r="C9" i="6"/>
  <c r="G9" i="6" s="1"/>
  <c r="C14" i="6"/>
  <c r="G14" i="6" s="1"/>
  <c r="C23" i="6"/>
  <c r="G23" i="6" s="1"/>
  <c r="J2" i="8"/>
  <c r="I2" i="8"/>
  <c r="K2" i="8"/>
  <c r="D16" i="13"/>
  <c r="B16" i="16"/>
  <c r="C11" i="4"/>
  <c r="D11" i="4" s="1"/>
  <c r="F11" i="4" s="1"/>
  <c r="G11" i="4" s="1"/>
  <c r="H11" i="4" s="1"/>
  <c r="C33" i="4"/>
  <c r="D33" i="4" s="1"/>
  <c r="F33" i="4" s="1"/>
  <c r="G33" i="4" s="1"/>
  <c r="H33" i="4" s="1"/>
  <c r="B7" i="14"/>
  <c r="B7" i="13"/>
  <c r="C26" i="6"/>
  <c r="G26" i="6" s="1"/>
  <c r="C29" i="6"/>
  <c r="G29" i="6" s="1"/>
  <c r="H29" i="6" s="1"/>
  <c r="I19" i="12"/>
  <c r="J19" i="12"/>
  <c r="K19" i="12"/>
  <c r="F30" i="13"/>
  <c r="B30" i="18"/>
  <c r="K3" i="11"/>
  <c r="J3" i="11"/>
  <c r="I3" i="11"/>
  <c r="I34" i="9"/>
  <c r="J34" i="9"/>
  <c r="K34" i="9"/>
  <c r="B13" i="17"/>
  <c r="E13" i="13"/>
  <c r="I14" i="9"/>
  <c r="K14" i="9"/>
  <c r="J14" i="9"/>
  <c r="B5" i="16"/>
  <c r="D5" i="13"/>
  <c r="B13" i="16"/>
  <c r="D13" i="13"/>
  <c r="C8" i="13"/>
  <c r="B8" i="15"/>
  <c r="B36" i="14"/>
  <c r="B36" i="13"/>
  <c r="B17" i="16"/>
  <c r="D17" i="13"/>
  <c r="C6" i="4"/>
  <c r="D6" i="4" s="1"/>
  <c r="F6" i="4" s="1"/>
  <c r="G6" i="4" s="1"/>
  <c r="H6" i="4" s="1"/>
  <c r="B32" i="13"/>
  <c r="B32" i="14"/>
  <c r="C10" i="4"/>
  <c r="D10" i="4" s="1"/>
  <c r="F10" i="4" s="1"/>
  <c r="G10" i="4" s="1"/>
  <c r="H10" i="4" s="1"/>
  <c r="C7" i="6"/>
  <c r="G7" i="6" s="1"/>
  <c r="C5" i="6"/>
  <c r="G5" i="6" s="1"/>
  <c r="C11" i="6"/>
  <c r="G11" i="6" s="1"/>
  <c r="C32" i="4"/>
  <c r="D32" i="4" s="1"/>
  <c r="F32" i="4" s="1"/>
  <c r="G32" i="4" s="1"/>
  <c r="H32" i="4" s="1"/>
  <c r="C30" i="6"/>
  <c r="G30" i="6" s="1"/>
  <c r="B18" i="14"/>
  <c r="B18" i="13"/>
  <c r="K5" i="4"/>
  <c r="J5" i="4"/>
  <c r="I5" i="4"/>
  <c r="B9" i="14"/>
  <c r="B9" i="13"/>
  <c r="B19" i="13"/>
  <c r="B19" i="14"/>
  <c r="J6" i="12"/>
  <c r="I6" i="12"/>
  <c r="K6" i="12"/>
  <c r="B15" i="18"/>
  <c r="F15" i="13"/>
  <c r="K31" i="12"/>
  <c r="I31" i="12"/>
  <c r="J31" i="12"/>
  <c r="K35" i="10"/>
  <c r="J35" i="10"/>
  <c r="I35" i="10"/>
  <c r="E24" i="13"/>
  <c r="B24" i="17"/>
  <c r="E35" i="13"/>
  <c r="B35" i="17"/>
  <c r="C33" i="13"/>
  <c r="B33" i="15"/>
  <c r="C20" i="4"/>
  <c r="D20" i="4" s="1"/>
  <c r="F20" i="4" s="1"/>
  <c r="G20" i="4" s="1"/>
  <c r="H20" i="4" s="1"/>
  <c r="C3" i="6"/>
  <c r="G3" i="6" s="1"/>
  <c r="C4" i="6"/>
  <c r="G4" i="6" s="1"/>
  <c r="B37" i="14"/>
  <c r="B37" i="13"/>
  <c r="B25" i="14"/>
  <c r="B25" i="13"/>
  <c r="C26" i="4"/>
  <c r="D26" i="4" s="1"/>
  <c r="F26" i="4" s="1"/>
  <c r="G26" i="4" s="1"/>
  <c r="H26" i="4" s="1"/>
  <c r="J17" i="4"/>
  <c r="I17" i="4"/>
  <c r="K17" i="4"/>
  <c r="K19" i="4"/>
  <c r="J19" i="4"/>
  <c r="I19" i="4"/>
  <c r="B5" i="14"/>
  <c r="B5" i="13"/>
  <c r="J19" i="9"/>
  <c r="K19" i="9"/>
  <c r="I19" i="9"/>
  <c r="B36" i="18"/>
  <c r="F36" i="13"/>
  <c r="J12" i="12"/>
  <c r="K12" i="12"/>
  <c r="I12" i="12"/>
  <c r="F29" i="13"/>
  <c r="B29" i="18"/>
  <c r="B5" i="18"/>
  <c r="F5" i="13"/>
  <c r="K31" i="10"/>
  <c r="J31" i="10"/>
  <c r="I31" i="10"/>
  <c r="E15" i="13"/>
  <c r="B15" i="17"/>
  <c r="I22" i="9"/>
  <c r="J22" i="9"/>
  <c r="K22" i="9"/>
  <c r="B8" i="18"/>
  <c r="F8" i="13"/>
  <c r="D32" i="13"/>
  <c r="B32" i="16"/>
  <c r="B28" i="17"/>
  <c r="E28" i="13"/>
  <c r="B27" i="18"/>
  <c r="F27" i="13"/>
  <c r="B33" i="16"/>
  <c r="D33" i="13"/>
  <c r="I27" i="8"/>
  <c r="K27" i="8"/>
  <c r="J27" i="8"/>
  <c r="K10" i="9"/>
  <c r="J10" i="9"/>
  <c r="I10" i="9"/>
  <c r="D8" i="13"/>
  <c r="B8" i="16"/>
  <c r="B21" i="15"/>
  <c r="C21" i="13"/>
  <c r="F9" i="13"/>
  <c r="B9" i="18"/>
  <c r="B6" i="15"/>
  <c r="C6" i="13"/>
  <c r="J14" i="8"/>
  <c r="I14" i="8"/>
  <c r="K14" i="8"/>
  <c r="C32" i="6"/>
  <c r="G32" i="6" s="1"/>
  <c r="D26" i="13"/>
  <c r="B26" i="16"/>
  <c r="C31" i="6"/>
  <c r="G31" i="6" s="1"/>
  <c r="C16" i="4"/>
  <c r="D16" i="4" s="1"/>
  <c r="F16" i="4" s="1"/>
  <c r="G16" i="4" s="1"/>
  <c r="H16" i="4" s="1"/>
  <c r="C2" i="6"/>
  <c r="G2" i="6" s="1"/>
  <c r="B17" i="14"/>
  <c r="B17" i="13"/>
  <c r="C28" i="6"/>
  <c r="G28" i="6" s="1"/>
  <c r="F21" i="13"/>
  <c r="B21" i="18"/>
  <c r="K33" i="12"/>
  <c r="I33" i="12"/>
  <c r="J33" i="12"/>
  <c r="E27" i="13"/>
  <c r="B27" i="17"/>
  <c r="I10" i="11"/>
  <c r="K10" i="11"/>
  <c r="J10" i="11"/>
  <c r="E25" i="13"/>
  <c r="B25" i="17"/>
  <c r="B29" i="17"/>
  <c r="E29" i="13"/>
  <c r="B23" i="17"/>
  <c r="E23" i="13"/>
  <c r="K28" i="10"/>
  <c r="J28" i="10"/>
  <c r="I28" i="10"/>
  <c r="B5" i="17"/>
  <c r="E5" i="13"/>
  <c r="B4" i="16"/>
  <c r="D4" i="13"/>
  <c r="B4" i="17"/>
  <c r="E4" i="13"/>
  <c r="B37" i="15"/>
  <c r="C37" i="13"/>
  <c r="B9" i="16"/>
  <c r="D9" i="13"/>
  <c r="C15" i="6"/>
  <c r="G15" i="6" s="1"/>
  <c r="J10" i="8"/>
  <c r="I10" i="8"/>
  <c r="K10" i="8"/>
  <c r="C16" i="6"/>
  <c r="G16" i="6" s="1"/>
  <c r="B5" i="15"/>
  <c r="C5" i="13"/>
  <c r="B30" i="14"/>
  <c r="B30" i="13"/>
  <c r="D9" i="4"/>
  <c r="F9" i="4" s="1"/>
  <c r="G9" i="4" s="1"/>
  <c r="H9" i="4" s="1"/>
  <c r="C9" i="4"/>
  <c r="B18" i="16"/>
  <c r="K31" i="4"/>
  <c r="J31" i="4"/>
  <c r="I31" i="4"/>
  <c r="B25" i="16"/>
  <c r="D25" i="13"/>
  <c r="C22" i="6"/>
  <c r="G22" i="6" s="1"/>
  <c r="C34" i="6"/>
  <c r="G34" i="6" s="1"/>
  <c r="C20" i="6"/>
  <c r="G20" i="6" s="1"/>
  <c r="C21" i="6"/>
  <c r="G21" i="6" s="1"/>
  <c r="I2" i="10"/>
  <c r="J2" i="10"/>
  <c r="K2" i="10"/>
  <c r="B22" i="14"/>
  <c r="B22" i="13"/>
  <c r="K30" i="4"/>
  <c r="J30" i="4"/>
  <c r="I30" i="4"/>
  <c r="C13" i="6"/>
  <c r="G13" i="6" s="1"/>
  <c r="C18" i="6"/>
  <c r="G18" i="6" s="1"/>
  <c r="K14" i="4"/>
  <c r="J14" i="4"/>
  <c r="I14" i="4"/>
  <c r="K37" i="4"/>
  <c r="J37" i="4"/>
  <c r="I37" i="4"/>
  <c r="I12" i="4"/>
  <c r="K12" i="4"/>
  <c r="J12" i="4"/>
  <c r="I4" i="4"/>
  <c r="K4" i="4"/>
  <c r="J4" i="4"/>
  <c r="I14" i="11"/>
  <c r="J14" i="11"/>
  <c r="K14" i="11"/>
  <c r="B3" i="18"/>
  <c r="F3" i="13"/>
  <c r="J11" i="9"/>
  <c r="I11" i="9"/>
  <c r="K11" i="9"/>
  <c r="E9" i="13"/>
  <c r="B9" i="17"/>
  <c r="E8" i="13"/>
  <c r="B8" i="17"/>
  <c r="C28" i="13"/>
  <c r="B28" i="15"/>
  <c r="B36" i="15"/>
  <c r="C36" i="13"/>
  <c r="B20" i="16"/>
  <c r="D20" i="13"/>
  <c r="B4" i="15"/>
  <c r="C4" i="13"/>
  <c r="D36" i="4"/>
  <c r="F36" i="4" s="1"/>
  <c r="G36" i="4" s="1"/>
  <c r="H36" i="4" s="1"/>
  <c r="C36" i="4"/>
  <c r="B32" i="18"/>
  <c r="F32" i="13"/>
  <c r="B13" i="18"/>
  <c r="F13" i="13"/>
  <c r="F26" i="13"/>
  <c r="B26" i="18"/>
  <c r="B22" i="18"/>
  <c r="F22" i="13"/>
  <c r="B31" i="17"/>
  <c r="E31" i="13"/>
  <c r="B12" i="17"/>
  <c r="E12" i="13"/>
  <c r="J7" i="9"/>
  <c r="K7" i="9"/>
  <c r="I7" i="9"/>
  <c r="B16" i="17"/>
  <c r="E16" i="13"/>
  <c r="I14" i="12"/>
  <c r="K14" i="12"/>
  <c r="J14" i="12"/>
  <c r="I26" i="9"/>
  <c r="K26" i="9"/>
  <c r="J26" i="9"/>
  <c r="I10" i="10"/>
  <c r="J10" i="10"/>
  <c r="K10" i="10"/>
  <c r="B29" i="16"/>
  <c r="D29" i="13"/>
  <c r="D24" i="13"/>
  <c r="B24" i="16"/>
  <c r="D25" i="4"/>
  <c r="F25" i="4" s="1"/>
  <c r="G25" i="4" s="1"/>
  <c r="H25" i="4" s="1"/>
  <c r="C25" i="4"/>
  <c r="C35" i="6"/>
  <c r="G35" i="6" s="1"/>
  <c r="B22" i="16"/>
  <c r="D22" i="13"/>
  <c r="B26" i="13"/>
  <c r="B21" i="14"/>
  <c r="B21" i="13"/>
  <c r="J6" i="8"/>
  <c r="K6" i="8"/>
  <c r="I6" i="8"/>
  <c r="J15" i="8"/>
  <c r="I15" i="8"/>
  <c r="K15" i="8"/>
  <c r="C18" i="4"/>
  <c r="D18" i="4" s="1"/>
  <c r="F18" i="4" s="1"/>
  <c r="G18" i="4" s="1"/>
  <c r="H18" i="4" s="1"/>
  <c r="D27" i="4"/>
  <c r="F27" i="4" s="1"/>
  <c r="G27" i="4" s="1"/>
  <c r="H27" i="4" s="1"/>
  <c r="C27" i="4"/>
  <c r="K35" i="4"/>
  <c r="J35" i="4"/>
  <c r="I35" i="4"/>
  <c r="C6" i="6"/>
  <c r="G6" i="6" s="1"/>
  <c r="K13" i="4"/>
  <c r="J13" i="4"/>
  <c r="I13" i="4"/>
  <c r="C36" i="6"/>
  <c r="G36" i="6" s="1"/>
  <c r="B13" i="14"/>
  <c r="B13" i="13"/>
  <c r="C10" i="6"/>
  <c r="G10" i="6" s="1"/>
  <c r="C24" i="6"/>
  <c r="G24" i="6" s="1"/>
  <c r="C20" i="13" l="1"/>
  <c r="H30" i="6"/>
  <c r="H17" i="6"/>
  <c r="H12" i="6"/>
  <c r="B11" i="17"/>
  <c r="B19" i="17"/>
  <c r="B18" i="18"/>
  <c r="G21" i="13"/>
  <c r="G13" i="13"/>
  <c r="B17" i="17"/>
  <c r="G25" i="13"/>
  <c r="G17" i="13"/>
  <c r="G36" i="13"/>
  <c r="G5" i="13"/>
  <c r="G4" i="13"/>
  <c r="G29" i="13"/>
  <c r="B18" i="15"/>
  <c r="C18" i="13"/>
  <c r="G32" i="13"/>
  <c r="I24" i="4"/>
  <c r="K24" i="4"/>
  <c r="J24" i="4"/>
  <c r="K33" i="4"/>
  <c r="J33" i="4"/>
  <c r="I33" i="4"/>
  <c r="I18" i="4"/>
  <c r="K18" i="4"/>
  <c r="J18" i="4"/>
  <c r="I20" i="4"/>
  <c r="K20" i="4"/>
  <c r="J20" i="4"/>
  <c r="K26" i="4"/>
  <c r="J26" i="4"/>
  <c r="I26" i="4"/>
  <c r="K34" i="4"/>
  <c r="J34" i="4"/>
  <c r="I34" i="4"/>
  <c r="I16" i="4"/>
  <c r="K16" i="4"/>
  <c r="J16" i="4"/>
  <c r="J32" i="4"/>
  <c r="I32" i="4"/>
  <c r="K32" i="4"/>
  <c r="C7" i="13"/>
  <c r="B7" i="15"/>
  <c r="H28" i="6"/>
  <c r="B31" i="18"/>
  <c r="F31" i="13"/>
  <c r="H26" i="6"/>
  <c r="B27" i="16"/>
  <c r="D27" i="13"/>
  <c r="H25" i="6"/>
  <c r="B22" i="17"/>
  <c r="E22" i="13"/>
  <c r="B20" i="18"/>
  <c r="F20" i="13"/>
  <c r="B10" i="17"/>
  <c r="E10" i="13"/>
  <c r="B24" i="13"/>
  <c r="B24" i="14"/>
  <c r="B26" i="15"/>
  <c r="C26" i="13"/>
  <c r="H18" i="6"/>
  <c r="H15" i="6"/>
  <c r="H24" i="6"/>
  <c r="H6" i="6"/>
  <c r="B15" i="14"/>
  <c r="B15" i="13"/>
  <c r="E14" i="13"/>
  <c r="B14" i="17"/>
  <c r="H13" i="6"/>
  <c r="H32" i="6"/>
  <c r="B27" i="14"/>
  <c r="B27" i="13"/>
  <c r="B19" i="15"/>
  <c r="C19" i="13"/>
  <c r="H4" i="6"/>
  <c r="B2" i="14"/>
  <c r="B2" i="13"/>
  <c r="B28" i="13"/>
  <c r="B28" i="14"/>
  <c r="D23" i="13"/>
  <c r="B23" i="16"/>
  <c r="D14" i="13"/>
  <c r="B14" i="16"/>
  <c r="B6" i="16"/>
  <c r="D6" i="13"/>
  <c r="F34" i="13"/>
  <c r="B34" i="18"/>
  <c r="E30" i="13"/>
  <c r="B30" i="17"/>
  <c r="D11" i="13"/>
  <c r="B11" i="16"/>
  <c r="B34" i="14"/>
  <c r="B34" i="13"/>
  <c r="D3" i="13"/>
  <c r="B3" i="16"/>
  <c r="H10" i="6"/>
  <c r="H37" i="6"/>
  <c r="H3" i="6"/>
  <c r="H11" i="6"/>
  <c r="K6" i="4"/>
  <c r="J6" i="4"/>
  <c r="I6" i="4"/>
  <c r="C34" i="13"/>
  <c r="B34" i="15"/>
  <c r="B19" i="18"/>
  <c r="F19" i="13"/>
  <c r="B33" i="14"/>
  <c r="B33" i="13"/>
  <c r="B31" i="14"/>
  <c r="B31" i="13"/>
  <c r="B7" i="17"/>
  <c r="E7" i="13"/>
  <c r="B8" i="13"/>
  <c r="G8" i="13" s="1"/>
  <c r="B8" i="14"/>
  <c r="B16" i="13"/>
  <c r="B16" i="14"/>
  <c r="C31" i="13"/>
  <c r="B31" i="15"/>
  <c r="C15" i="13"/>
  <c r="B15" i="15"/>
  <c r="C9" i="13"/>
  <c r="G9" i="13" s="1"/>
  <c r="B9" i="15"/>
  <c r="B24" i="18"/>
  <c r="F24" i="13"/>
  <c r="J36" i="4"/>
  <c r="I36" i="4"/>
  <c r="K36" i="4"/>
  <c r="D2" i="13"/>
  <c r="B2" i="16"/>
  <c r="B28" i="16"/>
  <c r="D28" i="13"/>
  <c r="B14" i="18"/>
  <c r="F14" i="13"/>
  <c r="H21" i="6"/>
  <c r="H2" i="6"/>
  <c r="F6" i="13"/>
  <c r="B6" i="18"/>
  <c r="H5" i="6"/>
  <c r="B28" i="18"/>
  <c r="F28" i="13"/>
  <c r="E26" i="13"/>
  <c r="B26" i="17"/>
  <c r="B16" i="18"/>
  <c r="F16" i="13"/>
  <c r="B14" i="14"/>
  <c r="B14" i="13"/>
  <c r="D10" i="13"/>
  <c r="B10" i="16"/>
  <c r="B11" i="15"/>
  <c r="C11" i="13"/>
  <c r="H20" i="6"/>
  <c r="H16" i="6"/>
  <c r="D31" i="13"/>
  <c r="B31" i="16"/>
  <c r="B12" i="18"/>
  <c r="F12" i="13"/>
  <c r="H7" i="6"/>
  <c r="H23" i="6"/>
  <c r="H27" i="6"/>
  <c r="B37" i="18"/>
  <c r="F37" i="13"/>
  <c r="G37" i="13" s="1"/>
  <c r="C23" i="13"/>
  <c r="B23" i="15"/>
  <c r="D34" i="13"/>
  <c r="B34" i="16"/>
  <c r="B5" i="7"/>
  <c r="B2" i="17"/>
  <c r="E2" i="13"/>
  <c r="C35" i="13"/>
  <c r="B35" i="15"/>
  <c r="K25" i="4"/>
  <c r="J25" i="4"/>
  <c r="I25" i="4"/>
  <c r="K9" i="4"/>
  <c r="J9" i="4"/>
  <c r="I9" i="4"/>
  <c r="B10" i="15"/>
  <c r="C10" i="13"/>
  <c r="H36" i="6"/>
  <c r="B6" i="14"/>
  <c r="B6" i="13"/>
  <c r="H35" i="6"/>
  <c r="H34" i="6"/>
  <c r="B10" i="14"/>
  <c r="B10" i="13"/>
  <c r="B33" i="18"/>
  <c r="F33" i="13"/>
  <c r="B22" i="15"/>
  <c r="C22" i="13"/>
  <c r="D35" i="13"/>
  <c r="B35" i="16"/>
  <c r="H14" i="6"/>
  <c r="H8" i="6"/>
  <c r="B11" i="13"/>
  <c r="B11" i="14"/>
  <c r="H19" i="6"/>
  <c r="C3" i="13"/>
  <c r="B3" i="15"/>
  <c r="B30" i="15"/>
  <c r="C30" i="13"/>
  <c r="G30" i="13" s="1"/>
  <c r="B15" i="16"/>
  <c r="D15" i="13"/>
  <c r="B6" i="17"/>
  <c r="E6" i="13"/>
  <c r="B18" i="17"/>
  <c r="E18" i="13"/>
  <c r="B7" i="16"/>
  <c r="D7" i="13"/>
  <c r="E3" i="13"/>
  <c r="B3" i="17"/>
  <c r="B20" i="14"/>
  <c r="B20" i="13"/>
  <c r="K27" i="4"/>
  <c r="J27" i="4"/>
  <c r="I27" i="4"/>
  <c r="H22" i="6"/>
  <c r="H31" i="6"/>
  <c r="K10" i="4"/>
  <c r="J10" i="4"/>
  <c r="I10" i="4"/>
  <c r="C14" i="13"/>
  <c r="B14" i="15"/>
  <c r="K11" i="4"/>
  <c r="J11" i="4"/>
  <c r="I11" i="4"/>
  <c r="H9" i="6"/>
  <c r="B35" i="14"/>
  <c r="B35" i="13"/>
  <c r="B27" i="15"/>
  <c r="C27" i="13"/>
  <c r="H33" i="6"/>
  <c r="B19" i="16"/>
  <c r="D19" i="13"/>
  <c r="B3" i="14"/>
  <c r="B3" i="13"/>
  <c r="B34" i="17"/>
  <c r="E34" i="13"/>
  <c r="F2" i="13"/>
  <c r="B2" i="18"/>
  <c r="B12" i="14"/>
  <c r="B12" i="13"/>
  <c r="F10" i="13"/>
  <c r="B10" i="18"/>
  <c r="G12" i="13" l="1"/>
  <c r="G24" i="13"/>
  <c r="G18" i="13"/>
  <c r="G26" i="13"/>
  <c r="B7" i="7"/>
  <c r="G11" i="13"/>
  <c r="B3" i="7"/>
  <c r="B9" i="20"/>
  <c r="G7" i="13"/>
  <c r="G27" i="13"/>
  <c r="B7" i="20"/>
  <c r="B38" i="15"/>
  <c r="G31" i="13"/>
  <c r="G16" i="13"/>
  <c r="B38" i="18"/>
  <c r="B10" i="20"/>
  <c r="G20" i="13"/>
  <c r="G33" i="13"/>
  <c r="G14" i="13"/>
  <c r="B38" i="17"/>
  <c r="G22" i="13"/>
  <c r="G6" i="13"/>
  <c r="G34" i="13"/>
  <c r="B8" i="20"/>
  <c r="G28" i="13"/>
  <c r="G23" i="13"/>
  <c r="G19" i="13"/>
  <c r="G15" i="13"/>
  <c r="B38" i="16"/>
  <c r="G10" i="13"/>
  <c r="G35" i="13"/>
  <c r="G3" i="13"/>
  <c r="B38" i="14"/>
  <c r="E7" i="20"/>
  <c r="E6" i="20"/>
  <c r="E5" i="20"/>
  <c r="B6" i="20"/>
  <c r="G2" i="13"/>
  <c r="B3" i="20" l="1"/>
</calcChain>
</file>

<file path=xl/sharedStrings.xml><?xml version="1.0" encoding="utf-8"?>
<sst xmlns="http://schemas.openxmlformats.org/spreadsheetml/2006/main" count="290" uniqueCount="132">
  <si>
    <t>State/UT</t>
  </si>
  <si>
    <t>Cattle</t>
  </si>
  <si>
    <t>Buffalo</t>
  </si>
  <si>
    <t>Sheep</t>
  </si>
  <si>
    <t>Goat</t>
  </si>
  <si>
    <t>Pig</t>
  </si>
  <si>
    <t>Total Eligible Animals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</si>
  <si>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</si>
  <si>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</si>
  <si>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</si>
  <si>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</si>
  <si>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</si>
  <si>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</si>
  <si>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</si>
  <si>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</si>
  <si>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</si>
  <si>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</si>
  <si>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</si>
  <si>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</si>
  <si>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</si>
  <si>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</si>
  <si>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</si>
  <si>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</si>
  <si>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</si>
  <si>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</si>
  <si>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</si>
  <si>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</si>
  <si>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</si>
  <si>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</si>
  <si>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</si>
  <si>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</si>
  <si>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</si>
  <si>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</si>
  <si>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</si>
  <si>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</si>
  <si>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</si>
  <si>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</si>
  <si>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</si>
  <si>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</si>
  <si>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</si>
  <si>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</si>
  <si>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</si>
  <si>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</si>
  <si>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Parameter</t>
  </si>
  <si>
    <t>Value</t>
  </si>
  <si>
    <t>Scientific Rationale / Source</t>
  </si>
  <si>
    <t>Calving Rate</t>
  </si>
  <si>
    <t>Average national calving rate used by DAHD/NDDB planning models</t>
  </si>
  <si>
    <t>Female Calf %</t>
  </si>
  <si>
    <t>Observed female calf ratio in bovines (~45–48%)</t>
  </si>
  <si>
    <t>Coverage %</t>
  </si>
  <si>
    <t>Target programmatic coverage under NADCP/LHDCP</t>
  </si>
  <si>
    <t>Wastage %</t>
  </si>
  <si>
    <t>Programmatic wastage during field vaccination</t>
  </si>
  <si>
    <t>Expiry %</t>
  </si>
  <si>
    <t>Shelf-life expiry &amp; batch residual loss</t>
  </si>
  <si>
    <t>Cold Chain Loss %</t>
  </si>
  <si>
    <t>Cold-chain breakage &amp; handling loss</t>
  </si>
  <si>
    <t>Buffer Stock %</t>
  </si>
  <si>
    <t>Operational buffer stock for uninterrupted campaigns</t>
  </si>
  <si>
    <t>Campaign Clustering %</t>
  </si>
  <si>
    <t>Clustering of campaigns / synchronized drives</t>
  </si>
  <si>
    <t>Vaccine</t>
  </si>
  <si>
    <t>Target Species</t>
  </si>
  <si>
    <t>Doses per Animal per Year</t>
  </si>
  <si>
    <t>FMD</t>
  </si>
  <si>
    <t>Cattle+Buffalo+Sheep+Goat+Pig</t>
  </si>
  <si>
    <t>Brucellosis</t>
  </si>
  <si>
    <t>Female Cattle+Buffalo</t>
  </si>
  <si>
    <t>PPR</t>
  </si>
  <si>
    <t>Sheep+Goat</t>
  </si>
  <si>
    <t>CSF</t>
  </si>
  <si>
    <t>LSD</t>
  </si>
  <si>
    <t>Base Eligible Animals</t>
  </si>
  <si>
    <t>New Birth Eligible</t>
  </si>
  <si>
    <t>Adjusted Eligible (Coverage)</t>
  </si>
  <si>
    <t>Current Inventory (Editable)</t>
  </si>
  <si>
    <t>Annual Dose Requirement</t>
  </si>
  <si>
    <t>After Losses</t>
  </si>
  <si>
    <t>After Buffer &amp; Campaign</t>
  </si>
  <si>
    <t>Monthly Demand</t>
  </si>
  <si>
    <t>Half-Yearly Demand</t>
  </si>
  <si>
    <t>Annual Demand</t>
  </si>
  <si>
    <t>Total Doses (FY 2024-25)</t>
  </si>
  <si>
    <t>Source / Notes</t>
  </si>
  <si>
    <t>DAHD Annual Report 2024-25</t>
  </si>
  <si>
    <t>State driven – user input</t>
  </si>
  <si>
    <t>Total Eligible Livestock</t>
  </si>
  <si>
    <t>Livestock Share (%)</t>
  </si>
  <si>
    <t>High Disease Burden (Editable)</t>
  </si>
  <si>
    <t>Border / Migratory Risk (Editable)</t>
  </si>
  <si>
    <t>Programmatic Priority (Editable)</t>
  </si>
  <si>
    <t>Composite Priority Index</t>
  </si>
  <si>
    <t>Priority Category</t>
  </si>
  <si>
    <t>DAHD Vaccine Procurement Dashboard</t>
  </si>
  <si>
    <t>Total Annual Demand (All States)</t>
  </si>
  <si>
    <t>Total Monthly Demand</t>
  </si>
  <si>
    <t>Total Half-Yearly Demand</t>
  </si>
  <si>
    <t>Note:</t>
  </si>
  <si>
    <t>All figures are auto-derived from census, assumptions, and priority index.</t>
  </si>
  <si>
    <t>Eligible Animals</t>
  </si>
  <si>
    <t>Current Inventory</t>
  </si>
  <si>
    <t>FMD Annual Demand</t>
  </si>
  <si>
    <t>Brucellosis Annual Demand</t>
  </si>
  <si>
    <t>PPR Annual Demand</t>
  </si>
  <si>
    <t>CSF Annual Demand</t>
  </si>
  <si>
    <t>LSD Annual Demand</t>
  </si>
  <si>
    <t>Total Vaccine Demand (All)</t>
  </si>
  <si>
    <t>India Total</t>
  </si>
  <si>
    <t>Demand Estimation – Formula Explanation (Plain Language)</t>
  </si>
  <si>
    <t>1. Eligible Animals = Species-specific livestock count from 20th Livestock Census.</t>
  </si>
  <si>
    <t>2. New Birth Eligible = Eligible Animals × Calving Rate × Female Calf %.</t>
  </si>
  <si>
    <t>3. Adjusted Eligible = (Eligible Animals + New Birth Eligible) × Coverage %.</t>
  </si>
  <si>
    <t>4. Net Eligible = Adjusted Eligible − Current Inventory (default assumed zero).</t>
  </si>
  <si>
    <t>5. Annual Dose Requirement = Net Eligible × Doses per animal (from Vaccine Parameters sheet).</t>
  </si>
  <si>
    <t>6. After Losses = Annual Dose × (1 + Wastage % + Expiry % + Cold Chain Loss %).</t>
  </si>
  <si>
    <t>7. Final Procurement Qty = After Losses × (1 + Buffer Stock % + Campaign Clustering %).</t>
  </si>
  <si>
    <t>8. Monthly Demand = Final Procurement Qty ÷ 12.</t>
  </si>
  <si>
    <t>9. Half-Yearly Demand = Final Procurement Qty ÷ 2.</t>
  </si>
  <si>
    <t>10. All percentages and doses are editable; model recalculates automatically.</t>
  </si>
  <si>
    <t>MoFAHD – National Vaccine Procurement &amp; Planning Dashboard</t>
  </si>
  <si>
    <t>Total Annual Vaccine Requirement (All India)</t>
  </si>
  <si>
    <t>Priority-wise State Count</t>
  </si>
  <si>
    <t>Vaccine-wise Annual Requirement</t>
  </si>
  <si>
    <t>High Priority States</t>
  </si>
  <si>
    <t>Medium Priority States</t>
  </si>
  <si>
    <t>Standard Priority States</t>
  </si>
  <si>
    <t>Key Notes:</t>
  </si>
  <si>
    <t>• Demand based on 20th Livestock Census (DAHD)</t>
  </si>
  <si>
    <t>• Births, coverage, losses, buffer scientifically modelled</t>
  </si>
  <si>
    <t>• Inventory assumed zero unless updated by State</t>
  </si>
  <si>
    <t>• All assumptions &amp; parameters are 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</si>
</sst>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2" fillId="0" borderId="1" xfId="0" applyFont="1" applyBorder="1"/>
    <xf numFmtId="1" fontId="0" fillId="0" borderId="1" xfId="0" applyNumberFormat="1" applyBorder="1"/>
    <xf numFmtId="10" fontId="0" fillId="0" borderId="1" xfId="1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3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0" fontId="0" fillId="0" borderId="8" xfId="1" applyNumberFormat="1" applyFont="1" applyBorder="1"/>
    <xf numFmtId="164" fontId="0" fillId="0" borderId="8" xfId="0" applyNumberFormat="1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1" fontId="0" fillId="0" borderId="3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" fontId="0" fillId="0" borderId="8" xfId="0" applyNumberFormat="1" applyBorder="1" applyAlignment="1">
      <alignment vertical="center"/>
    </xf>
    <xf numFmtId="1" fontId="0" fillId="0" borderId="9" xfId="0" applyNumberForma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</cellXfs>
  <cellStyles count="2">
    <cellStyle name="Normal" xfId="0" builtinId="0"/>
    <cellStyle name="Percent" xfId="1" builtinId="5"/>
  </cellStyles>
  <dxfs count="125"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384678</xdr:colOff>
      <xdr:row>26</xdr:row>
      <xdr:rowOff>167640</xdr:rowOff>
    </xdr:to>
    <xdr:pic>
      <xdr:nvPicPr>
        <xdr:cNvPr id="2" name="Picture 1" descr="C:\Users\Vishwajeet Anand\Downloads\Vaccine Dashboard 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90278" cy="49225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541020</xdr:colOff>
      <xdr:row>0</xdr:row>
      <xdr:rowOff>15241</xdr:rowOff>
    </xdr:from>
    <xdr:to>
      <xdr:col>23</xdr:col>
      <xdr:colOff>76200</xdr:colOff>
      <xdr:row>26</xdr:row>
      <xdr:rowOff>134289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6620" y="15241"/>
          <a:ext cx="6850380" cy="49305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7" totalsRowShown="0" headerRowDxfId="124" headerRowBorderDxfId="123" tableBorderDxfId="122" totalsRowBorderDxfId="121">
  <tableColumns count="7">
    <tableColumn id="1" xr3:uid="{00000000-0010-0000-0000-000001000000}" name="State/UT" dataDxfId="120"/>
    <tableColumn id="2" xr3:uid="{00000000-0010-0000-0000-000002000000}" name="Cattle" dataDxfId="119"/>
    <tableColumn id="3" xr3:uid="{00000000-0010-0000-0000-000003000000}" name="Buffalo" dataDxfId="118"/>
    <tableColumn id="4" xr3:uid="{00000000-0010-0000-0000-000004000000}" name="Sheep" dataDxfId="117"/>
    <tableColumn id="5" xr3:uid="{00000000-0010-0000-0000-000005000000}" name="Goat" dataDxfId="116"/>
    <tableColumn id="6" xr3:uid="{00000000-0010-0000-0000-000006000000}" name="Pig" dataDxfId="115"/>
    <tableColumn id="7" xr3:uid="{00000000-0010-0000-0000-000007000000}" name="Total Eligible Animals" dataDxfId="114">
      <calculatedColumnFormula>SUM(B2:F2)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K37" totalsRowShown="0" headerRowDxfId="113" headerRowBorderDxfId="112" tableBorderDxfId="111" totalsRowBorderDxfId="110">
  <tableColumns count="11">
    <tableColumn id="1" xr3:uid="{00000000-0010-0000-0100-000001000000}" name="State/UT" dataDxfId="109">
      <calculatedColumnFormula>'Livestock Count'!A2</calculatedColumnFormula>
    </tableColumn>
    <tableColumn id="2" xr3:uid="{00000000-0010-0000-0100-000002000000}" name="Base Eligible Animals" dataDxfId="108">
      <calculatedColumnFormula>'Livestock Count'!G2</calculatedColumnFormula>
    </tableColumn>
    <tableColumn id="3" xr3:uid="{00000000-0010-0000-0100-000003000000}" name="New Birth Eligible" dataDxfId="107"/>
    <tableColumn id="4" xr3:uid="{00000000-0010-0000-0100-000004000000}" name="Adjusted Eligible (Coverage)" dataDxfId="106"/>
    <tableColumn id="5" xr3:uid="{00000000-0010-0000-0100-000005000000}" name="Current Inventory (Editable)" dataDxfId="105"/>
    <tableColumn id="6" xr3:uid="{00000000-0010-0000-0100-000006000000}" name="Annual Dose Requirement" dataDxfId="104">
      <calculatedColumnFormula>(D2-E2)*2</calculatedColumnFormula>
    </tableColumn>
    <tableColumn id="7" xr3:uid="{00000000-0010-0000-0100-000007000000}" name="After Losses" dataDxfId="103"/>
    <tableColumn id="8" xr3:uid="{00000000-0010-0000-0100-000008000000}" name="After Buffer &amp; Campaign" dataDxfId="102"/>
    <tableColumn id="9" xr3:uid="{00000000-0010-0000-0100-000009000000}" name="Monthly Demand" dataDxfId="101">
      <calculatedColumnFormula>H2/12</calculatedColumnFormula>
    </tableColumn>
    <tableColumn id="10" xr3:uid="{00000000-0010-0000-0100-00000A000000}" name="Half-Yearly Demand" dataDxfId="100">
      <calculatedColumnFormula>H2/2</calculatedColumnFormula>
    </tableColumn>
    <tableColumn id="11" xr3:uid="{00000000-0010-0000-0100-00000B000000}" name="Annual Demand" dataDxfId="99">
      <calculatedColumnFormula>H2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37" totalsRowShown="0" headerRowDxfId="98" headerRowBorderDxfId="97" tableBorderDxfId="96" totalsRowBorderDxfId="95">
  <tableColumns count="8">
    <tableColumn id="1" xr3:uid="{00000000-0010-0000-0200-000001000000}" name="State/UT" dataDxfId="94">
      <calculatedColumnFormula>'Livestock Count'!A2</calculatedColumnFormula>
    </tableColumn>
    <tableColumn id="2" xr3:uid="{00000000-0010-0000-0200-000002000000}" name="Total Eligible Livestock" dataDxfId="93">
      <calculatedColumnFormula>'Livestock Count'!G2</calculatedColumnFormula>
    </tableColumn>
    <tableColumn id="3" xr3:uid="{00000000-0010-0000-0200-000003000000}" name="Livestock Share (%)" dataDxfId="92" dataCellStyle="Percent"/>
    <tableColumn id="4" xr3:uid="{00000000-0010-0000-0200-000004000000}" name="High Disease Burden (Editable)" dataDxfId="91"/>
    <tableColumn id="5" xr3:uid="{00000000-0010-0000-0200-000005000000}" name="Border / Migratory Risk (Editable)" dataDxfId="90"/>
    <tableColumn id="6" xr3:uid="{00000000-0010-0000-0200-000006000000}" name="Programmatic Priority (Editable)" dataDxfId="89"/>
    <tableColumn id="7" xr3:uid="{00000000-0010-0000-0200-000007000000}" name="Composite Priority Index" dataDxfId="88">
      <calculatedColumnFormula>C2*D2*E2*F2</calculatedColumnFormula>
    </tableColumn>
    <tableColumn id="8" xr3:uid="{00000000-0010-0000-0200-000008000000}" name="Priority Category" dataDxfId="87">
      <calculatedColumnFormula>IF(G2&gt;=PERCENTILE($G$2:$G$37,0.75),"High",IF(G2&gt;=PERCENTILE($G$2:$G$37,0.4),"Medium","Standard"))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K37" totalsRowShown="0" headerRowDxfId="86" headerRowBorderDxfId="85" tableBorderDxfId="84" totalsRowBorderDxfId="83">
  <tableColumns count="11">
    <tableColumn id="1" xr3:uid="{00000000-0010-0000-0300-000001000000}" name="State/UT" dataDxfId="82"/>
    <tableColumn id="2" xr3:uid="{00000000-0010-0000-0300-000002000000}" name="Eligible Animals" dataDxfId="81">
      <calculatedColumnFormula>SUM('Livestock Count'!B2:F2)</calculatedColumnFormula>
    </tableColumn>
    <tableColumn id="3" xr3:uid="{00000000-0010-0000-0300-000003000000}" name="New Birth Eligible" dataDxfId="80"/>
    <tableColumn id="4" xr3:uid="{00000000-0010-0000-0300-000004000000}" name="Adjusted Eligible (Coverage)" dataDxfId="79"/>
    <tableColumn id="5" xr3:uid="{00000000-0010-0000-0300-000005000000}" name="Current Inventory" dataDxfId="78"/>
    <tableColumn id="6" xr3:uid="{00000000-0010-0000-0300-000006000000}" name="Annual Dose Requirement" dataDxfId="77">
      <calculatedColumnFormula>(D2-E2)*2</calculatedColumnFormula>
    </tableColumn>
    <tableColumn id="7" xr3:uid="{00000000-0010-0000-0300-000007000000}" name="After Losses" dataDxfId="76"/>
    <tableColumn id="8" xr3:uid="{00000000-0010-0000-0300-000008000000}" name="After Buffer &amp; Campaign" dataDxfId="75"/>
    <tableColumn id="9" xr3:uid="{00000000-0010-0000-0300-000009000000}" name="Monthly Demand" dataDxfId="74">
      <calculatedColumnFormula>H2/12</calculatedColumnFormula>
    </tableColumn>
    <tableColumn id="10" xr3:uid="{00000000-0010-0000-0300-00000A000000}" name="Half-Yearly Demand" dataDxfId="73">
      <calculatedColumnFormula>H2/2</calculatedColumnFormula>
    </tableColumn>
    <tableColumn id="11" xr3:uid="{00000000-0010-0000-0300-00000B000000}" name="Annual Demand" dataDxfId="72">
      <calculatedColumnFormula>H2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K37" totalsRowShown="0" headerRowDxfId="71" dataDxfId="69" headerRowBorderDxfId="70" tableBorderDxfId="68" totalsRowBorderDxfId="67">
  <tableColumns count="11">
    <tableColumn id="1" xr3:uid="{00000000-0010-0000-0400-000001000000}" name="State/UT" dataDxfId="66"/>
    <tableColumn id="2" xr3:uid="{00000000-0010-0000-0400-000002000000}" name="Eligible Animals" dataDxfId="65">
      <calculatedColumnFormula>SUM('Livestock Count'!B2:C2)</calculatedColumnFormula>
    </tableColumn>
    <tableColumn id="3" xr3:uid="{00000000-0010-0000-0400-000003000000}" name="New Birth Eligible" dataDxfId="64"/>
    <tableColumn id="4" xr3:uid="{00000000-0010-0000-0400-000004000000}" name="Adjusted Eligible (Coverage)" dataDxfId="63"/>
    <tableColumn id="5" xr3:uid="{00000000-0010-0000-0400-000005000000}" name="Current Inventory" dataDxfId="62"/>
    <tableColumn id="6" xr3:uid="{00000000-0010-0000-0400-000006000000}" name="Annual Dose Requirement" dataDxfId="61">
      <calculatedColumnFormula>(D2-E2)*1</calculatedColumnFormula>
    </tableColumn>
    <tableColumn id="7" xr3:uid="{00000000-0010-0000-0400-000007000000}" name="After Losses" dataDxfId="60"/>
    <tableColumn id="8" xr3:uid="{00000000-0010-0000-0400-000008000000}" name="After Buffer &amp; Campaign" dataDxfId="59"/>
    <tableColumn id="9" xr3:uid="{00000000-0010-0000-0400-000009000000}" name="Monthly Demand" dataDxfId="58">
      <calculatedColumnFormula>H2/12</calculatedColumnFormula>
    </tableColumn>
    <tableColumn id="10" xr3:uid="{00000000-0010-0000-0400-00000A000000}" name="Half-Yearly Demand" dataDxfId="57">
      <calculatedColumnFormula>H2/2</calculatedColumnFormula>
    </tableColumn>
    <tableColumn id="11" xr3:uid="{00000000-0010-0000-0400-00000B000000}" name="Annual Demand" dataDxfId="56">
      <calculatedColumnFormula>H2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K37" totalsRowShown="0" headerRowDxfId="55" headerRowBorderDxfId="54" tableBorderDxfId="53" totalsRowBorderDxfId="52">
  <tableColumns count="11">
    <tableColumn id="1" xr3:uid="{00000000-0010-0000-0500-000001000000}" name="State/UT" dataDxfId="51">
      <calculatedColumnFormula>'Livestock Count'!A2</calculatedColumnFormula>
    </tableColumn>
    <tableColumn id="2" xr3:uid="{00000000-0010-0000-0500-000002000000}" name="Eligible Animals" dataDxfId="50">
      <calculatedColumnFormula>SUM('Livestock Count'!D2:E2)</calculatedColumnFormula>
    </tableColumn>
    <tableColumn id="3" xr3:uid="{00000000-0010-0000-0500-000003000000}" name="New Birth Eligible" dataDxfId="49"/>
    <tableColumn id="4" xr3:uid="{00000000-0010-0000-0500-000004000000}" name="Adjusted Eligible (Coverage)" dataDxfId="48"/>
    <tableColumn id="5" xr3:uid="{00000000-0010-0000-0500-000005000000}" name="Current Inventory" dataDxfId="47"/>
    <tableColumn id="6" xr3:uid="{00000000-0010-0000-0500-000006000000}" name="Annual Dose Requirement" dataDxfId="46">
      <calculatedColumnFormula>(D2-E2)*1</calculatedColumnFormula>
    </tableColumn>
    <tableColumn id="7" xr3:uid="{00000000-0010-0000-0500-000007000000}" name="After Losses" dataDxfId="45"/>
    <tableColumn id="8" xr3:uid="{00000000-0010-0000-0500-000008000000}" name="After Buffer &amp; Campaign" dataDxfId="44"/>
    <tableColumn id="9" xr3:uid="{00000000-0010-0000-0500-000009000000}" name="Monthly Demand" dataDxfId="43">
      <calculatedColumnFormula>H2/12</calculatedColumnFormula>
    </tableColumn>
    <tableColumn id="10" xr3:uid="{00000000-0010-0000-0500-00000A000000}" name="Half-Yearly Demand" dataDxfId="42">
      <calculatedColumnFormula>H2/2</calculatedColumnFormula>
    </tableColumn>
    <tableColumn id="11" xr3:uid="{00000000-0010-0000-0500-00000B000000}" name="Annual Demand" dataDxfId="41">
      <calculatedColumnFormula>H2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K37" totalsRowShown="0" headerRowDxfId="40" headerRowBorderDxfId="39" tableBorderDxfId="38" totalsRowBorderDxfId="37">
  <tableColumns count="11">
    <tableColumn id="1" xr3:uid="{00000000-0010-0000-0600-000001000000}" name="State/UT" dataDxfId="36">
      <calculatedColumnFormula>'Livestock Count'!A2</calculatedColumnFormula>
    </tableColumn>
    <tableColumn id="2" xr3:uid="{00000000-0010-0000-0600-000002000000}" name="Eligible Animals" dataDxfId="35">
      <calculatedColumnFormula>'Livestock Count'!F2</calculatedColumnFormula>
    </tableColumn>
    <tableColumn id="3" xr3:uid="{00000000-0010-0000-0600-000003000000}" name="New Birth Eligible" dataDxfId="34"/>
    <tableColumn id="4" xr3:uid="{00000000-0010-0000-0600-000004000000}" name="Adjusted Eligible (Coverage)" dataDxfId="33"/>
    <tableColumn id="5" xr3:uid="{00000000-0010-0000-0600-000005000000}" name="Current Inventory" dataDxfId="32"/>
    <tableColumn id="6" xr3:uid="{00000000-0010-0000-0600-000006000000}" name="Annual Dose Requirement" dataDxfId="31">
      <calculatedColumnFormula>(D2-E2)*1</calculatedColumnFormula>
    </tableColumn>
    <tableColumn id="7" xr3:uid="{00000000-0010-0000-0600-000007000000}" name="After Losses" dataDxfId="30"/>
    <tableColumn id="8" xr3:uid="{00000000-0010-0000-0600-000008000000}" name="After Buffer &amp; Campaign" dataDxfId="29"/>
    <tableColumn id="9" xr3:uid="{00000000-0010-0000-0600-000009000000}" name="Monthly Demand" dataDxfId="28">
      <calculatedColumnFormula>H2/12</calculatedColumnFormula>
    </tableColumn>
    <tableColumn id="10" xr3:uid="{00000000-0010-0000-0600-00000A000000}" name="Half-Yearly Demand" dataDxfId="27">
      <calculatedColumnFormula>H2/2</calculatedColumnFormula>
    </tableColumn>
    <tableColumn id="11" xr3:uid="{00000000-0010-0000-0600-00000B000000}" name="Annual Demand" dataDxfId="26">
      <calculatedColumnFormula>H2</calculatedColumnFormula>
    </tableColumn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K37" totalsRowShown="0" headerRowDxfId="25" headerRowBorderDxfId="24" tableBorderDxfId="23" totalsRowBorderDxfId="22">
  <tableColumns count="11">
    <tableColumn id="1" xr3:uid="{00000000-0010-0000-0700-000001000000}" name="State/UT" dataDxfId="21">
      <calculatedColumnFormula>'Livestock Count'!A2</calculatedColumnFormula>
    </tableColumn>
    <tableColumn id="2" xr3:uid="{00000000-0010-0000-0700-000002000000}" name="Eligible Animals" dataDxfId="20">
      <calculatedColumnFormula>'Livestock Count'!B2</calculatedColumnFormula>
    </tableColumn>
    <tableColumn id="3" xr3:uid="{00000000-0010-0000-0700-000003000000}" name="New Birth Eligible" dataDxfId="19"/>
    <tableColumn id="4" xr3:uid="{00000000-0010-0000-0700-000004000000}" name="Adjusted Eligible (Coverage)" dataDxfId="18"/>
    <tableColumn id="5" xr3:uid="{00000000-0010-0000-0700-000005000000}" name="Current Inventory" dataDxfId="17"/>
    <tableColumn id="6" xr3:uid="{00000000-0010-0000-0700-000006000000}" name="Annual Dose Requirement" dataDxfId="16">
      <calculatedColumnFormula>(D2-E2)*1</calculatedColumnFormula>
    </tableColumn>
    <tableColumn id="7" xr3:uid="{00000000-0010-0000-0700-000007000000}" name="After Losses" dataDxfId="15"/>
    <tableColumn id="8" xr3:uid="{00000000-0010-0000-0700-000008000000}" name="After Buffer &amp; Campaign" dataDxfId="14"/>
    <tableColumn id="9" xr3:uid="{00000000-0010-0000-0700-000009000000}" name="Monthly Demand" dataDxfId="13">
      <calculatedColumnFormula>H2/12</calculatedColumnFormula>
    </tableColumn>
    <tableColumn id="10" xr3:uid="{00000000-0010-0000-0700-00000A000000}" name="Half-Yearly Demand" dataDxfId="12">
      <calculatedColumnFormula>H2/2</calculatedColumnFormula>
    </tableColumn>
    <tableColumn id="11" xr3:uid="{00000000-0010-0000-0700-00000B000000}" name="Annual Demand" dataDxfId="11">
      <calculatedColumnFormula>H2</calculatedColumnFormula>
    </tableColumn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G37" totalsRowShown="0" headerRowDxfId="10" headerRowBorderDxfId="9" tableBorderDxfId="8" totalsRowBorderDxfId="7">
  <tableColumns count="7">
    <tableColumn id="1" xr3:uid="{00000000-0010-0000-0800-000001000000}" name="State/UT" dataDxfId="6">
      <calculatedColumnFormula>'FMD Demand'!A2</calculatedColumnFormula>
    </tableColumn>
    <tableColumn id="2" xr3:uid="{00000000-0010-0000-0800-000002000000}" name="FMD Annual Demand" dataDxfId="5">
      <calculatedColumnFormula>'FMD Demand'!K2</calculatedColumnFormula>
    </tableColumn>
    <tableColumn id="3" xr3:uid="{00000000-0010-0000-0800-000003000000}" name="Brucellosis Annual Demand" dataDxfId="4">
      <calculatedColumnFormula>'Brucellosis Demand'!K2</calculatedColumnFormula>
    </tableColumn>
    <tableColumn id="4" xr3:uid="{00000000-0010-0000-0800-000004000000}" name="PPR Annual Demand" dataDxfId="3">
      <calculatedColumnFormula>'PPR Demand'!K2</calculatedColumnFormula>
    </tableColumn>
    <tableColumn id="5" xr3:uid="{00000000-0010-0000-0800-000005000000}" name="CSF Annual Demand" dataDxfId="2">
      <calculatedColumnFormula>'CSF Demand'!K2</calculatedColumnFormula>
    </tableColumn>
    <tableColumn id="6" xr3:uid="{00000000-0010-0000-0800-000006000000}" name="LSD Annual Demand" dataDxfId="1">
      <calculatedColumnFormula>'LSD Demand'!K2</calculatedColumnFormula>
    </tableColumn>
    <tableColumn id="7" xr3:uid="{00000000-0010-0000-0800-000007000000}" name="Total Vaccine Demand (All)" dataDxfId="0">
      <calculatedColumnFormula>SUM(B2:F2)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.7265625" bestFit="1" customWidth="1"/>
    <col min="2" max="7" width="18.36328125" customWidth="1"/>
  </cols>
  <sheetData>
    <row r="1" spans="1:7" s="35" customFormat="1" ht="34" customHeight="1" x14ac:dyDescent="0.35">
      <c r="A1" s="34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26" t="s">
        <v>6</v>
      </c>
    </row>
    <row r="2" spans="1:7" x14ac:dyDescent="0.35">
      <c r="A2" s="8" t="s">
        <v>7</v>
      </c>
      <c r="B2" s="1">
        <v>36438</v>
      </c>
      <c r="C2" s="1">
        <v>3700</v>
      </c>
      <c r="D2" s="1">
        <v>5</v>
      </c>
      <c r="E2" s="1">
        <v>64761</v>
      </c>
      <c r="F2" s="1">
        <v>40488</v>
      </c>
      <c r="G2" s="9">
        <f t="shared" ref="G2:G37" si="0">SUM(B2:F2)</f>
        <v>145392</v>
      </c>
    </row>
    <row r="3" spans="1:7" x14ac:dyDescent="0.35">
      <c r="A3" s="8" t="s">
        <v>8</v>
      </c>
      <c r="B3" s="1">
        <v>4600087</v>
      </c>
      <c r="C3" s="1">
        <v>6219499</v>
      </c>
      <c r="D3" s="1">
        <v>17626971</v>
      </c>
      <c r="E3" s="1">
        <v>5522133</v>
      </c>
      <c r="F3" s="1">
        <v>91958</v>
      </c>
      <c r="G3" s="9">
        <f t="shared" si="0"/>
        <v>34060648</v>
      </c>
    </row>
    <row r="4" spans="1:7" x14ac:dyDescent="0.35">
      <c r="A4" s="8" t="s">
        <v>9</v>
      </c>
      <c r="B4" s="1">
        <v>339221</v>
      </c>
      <c r="C4" s="1">
        <v>6379</v>
      </c>
      <c r="D4" s="1">
        <v>7345</v>
      </c>
      <c r="E4" s="1">
        <v>159740</v>
      </c>
      <c r="F4" s="1">
        <v>271463</v>
      </c>
      <c r="G4" s="9">
        <f t="shared" si="0"/>
        <v>784148</v>
      </c>
    </row>
    <row r="5" spans="1:7" x14ac:dyDescent="0.35">
      <c r="A5" s="8" t="s">
        <v>10</v>
      </c>
      <c r="B5" s="1">
        <v>10909239</v>
      </c>
      <c r="C5" s="1">
        <v>421715</v>
      </c>
      <c r="D5" s="1">
        <v>332100</v>
      </c>
      <c r="E5" s="1">
        <v>4315173</v>
      </c>
      <c r="F5" s="1">
        <v>2099000</v>
      </c>
      <c r="G5" s="9">
        <f t="shared" si="0"/>
        <v>18077227</v>
      </c>
    </row>
    <row r="6" spans="1:7" x14ac:dyDescent="0.35">
      <c r="A6" s="8" t="s">
        <v>11</v>
      </c>
      <c r="B6" s="1">
        <v>15397980</v>
      </c>
      <c r="C6" s="1">
        <v>7719794</v>
      </c>
      <c r="D6" s="1">
        <v>213377</v>
      </c>
      <c r="E6" s="1">
        <v>12821216</v>
      </c>
      <c r="F6" s="1">
        <v>343434</v>
      </c>
      <c r="G6" s="9">
        <f t="shared" si="0"/>
        <v>36495801</v>
      </c>
    </row>
    <row r="7" spans="1:7" x14ac:dyDescent="0.35">
      <c r="A7" s="8" t="s">
        <v>12</v>
      </c>
      <c r="B7" s="1">
        <v>13440</v>
      </c>
      <c r="C7" s="1">
        <v>12177</v>
      </c>
      <c r="D7" s="1">
        <v>0</v>
      </c>
      <c r="E7" s="1">
        <v>998</v>
      </c>
      <c r="F7" s="1">
        <v>138</v>
      </c>
      <c r="G7" s="9">
        <f t="shared" si="0"/>
        <v>26753</v>
      </c>
    </row>
    <row r="8" spans="1:7" x14ac:dyDescent="0.35">
      <c r="A8" s="8" t="s">
        <v>13</v>
      </c>
      <c r="B8" s="1">
        <v>9983954</v>
      </c>
      <c r="C8" s="1">
        <v>1174722</v>
      </c>
      <c r="D8" s="1">
        <v>180229</v>
      </c>
      <c r="E8" s="1">
        <v>4005657</v>
      </c>
      <c r="F8" s="1">
        <v>526901</v>
      </c>
      <c r="G8" s="9">
        <f t="shared" si="0"/>
        <v>15871463</v>
      </c>
    </row>
    <row r="9" spans="1:7" x14ac:dyDescent="0.35">
      <c r="A9" s="8" t="s">
        <v>14</v>
      </c>
      <c r="B9" s="1">
        <v>39736</v>
      </c>
      <c r="C9" s="1">
        <v>997</v>
      </c>
      <c r="D9" s="1">
        <v>84</v>
      </c>
      <c r="E9" s="1">
        <v>7548</v>
      </c>
      <c r="F9" s="1">
        <v>0</v>
      </c>
      <c r="G9" s="9">
        <f t="shared" si="0"/>
        <v>48365</v>
      </c>
    </row>
    <row r="10" spans="1:7" x14ac:dyDescent="0.35">
      <c r="A10" s="8" t="s">
        <v>15</v>
      </c>
      <c r="B10" s="1">
        <v>1840</v>
      </c>
      <c r="C10" s="1">
        <v>374</v>
      </c>
      <c r="D10" s="1">
        <v>68</v>
      </c>
      <c r="E10" s="1">
        <v>987</v>
      </c>
      <c r="F10" s="1">
        <v>0</v>
      </c>
      <c r="G10" s="9">
        <f t="shared" si="0"/>
        <v>3269</v>
      </c>
    </row>
    <row r="11" spans="1:7" x14ac:dyDescent="0.35">
      <c r="A11" s="8" t="s">
        <v>16</v>
      </c>
      <c r="B11" s="1">
        <v>86433</v>
      </c>
      <c r="C11" s="1">
        <v>162142</v>
      </c>
      <c r="D11" s="1">
        <v>932</v>
      </c>
      <c r="E11" s="1">
        <v>30470</v>
      </c>
      <c r="F11" s="1">
        <v>76346</v>
      </c>
      <c r="G11" s="9">
        <f t="shared" si="0"/>
        <v>356323</v>
      </c>
    </row>
    <row r="12" spans="1:7" x14ac:dyDescent="0.35">
      <c r="A12" s="8" t="s">
        <v>17</v>
      </c>
      <c r="B12" s="1">
        <v>60247</v>
      </c>
      <c r="C12" s="1">
        <v>27207</v>
      </c>
      <c r="D12" s="1">
        <v>8</v>
      </c>
      <c r="E12" s="1">
        <v>9446</v>
      </c>
      <c r="F12" s="1">
        <v>35480</v>
      </c>
      <c r="G12" s="9">
        <f t="shared" si="0"/>
        <v>132388</v>
      </c>
    </row>
    <row r="13" spans="1:7" x14ac:dyDescent="0.35">
      <c r="A13" s="8" t="s">
        <v>18</v>
      </c>
      <c r="B13" s="1">
        <v>9633637</v>
      </c>
      <c r="C13" s="1">
        <v>10543250</v>
      </c>
      <c r="D13" s="1">
        <v>1787263</v>
      </c>
      <c r="E13" s="1">
        <v>4867744</v>
      </c>
      <c r="F13" s="1">
        <v>658</v>
      </c>
      <c r="G13" s="9">
        <f t="shared" si="0"/>
        <v>26832552</v>
      </c>
    </row>
    <row r="14" spans="1:7" x14ac:dyDescent="0.35">
      <c r="A14" s="8" t="s">
        <v>19</v>
      </c>
      <c r="B14" s="1">
        <v>1928682</v>
      </c>
      <c r="C14" s="1">
        <v>4368023</v>
      </c>
      <c r="D14" s="1">
        <v>288370</v>
      </c>
      <c r="E14" s="1">
        <v>334640</v>
      </c>
      <c r="F14" s="1">
        <v>108240</v>
      </c>
      <c r="G14" s="9">
        <f t="shared" si="0"/>
        <v>7027955</v>
      </c>
    </row>
    <row r="15" spans="1:7" x14ac:dyDescent="0.35">
      <c r="A15" s="8" t="s">
        <v>20</v>
      </c>
      <c r="B15" s="1">
        <v>1828017</v>
      </c>
      <c r="C15" s="1">
        <v>646565</v>
      </c>
      <c r="D15" s="1">
        <v>791345</v>
      </c>
      <c r="E15" s="1">
        <v>1108413</v>
      </c>
      <c r="F15" s="1">
        <v>2477</v>
      </c>
      <c r="G15" s="9">
        <f t="shared" si="0"/>
        <v>4376817</v>
      </c>
    </row>
    <row r="16" spans="1:7" x14ac:dyDescent="0.35">
      <c r="A16" s="8" t="s">
        <v>21</v>
      </c>
      <c r="B16" s="1">
        <v>2539240</v>
      </c>
      <c r="C16" s="1">
        <v>690829</v>
      </c>
      <c r="D16" s="1">
        <v>3247503</v>
      </c>
      <c r="E16" s="1">
        <v>1730218</v>
      </c>
      <c r="F16" s="1">
        <v>1215</v>
      </c>
      <c r="G16" s="9">
        <f t="shared" si="0"/>
        <v>8209005</v>
      </c>
    </row>
    <row r="17" spans="1:7" x14ac:dyDescent="0.35">
      <c r="A17" s="8" t="s">
        <v>22</v>
      </c>
      <c r="B17" s="1">
        <v>11223052</v>
      </c>
      <c r="C17" s="1">
        <v>1350313</v>
      </c>
      <c r="D17" s="1">
        <v>641183</v>
      </c>
      <c r="E17" s="1">
        <v>9121173</v>
      </c>
      <c r="F17" s="1">
        <v>1276973</v>
      </c>
      <c r="G17" s="9">
        <f t="shared" si="0"/>
        <v>23612694</v>
      </c>
    </row>
    <row r="18" spans="1:7" x14ac:dyDescent="0.35">
      <c r="A18" s="8" t="s">
        <v>23</v>
      </c>
      <c r="B18" s="1">
        <v>8469004</v>
      </c>
      <c r="C18" s="1">
        <v>2984560</v>
      </c>
      <c r="D18" s="1">
        <v>11050728</v>
      </c>
      <c r="E18" s="1">
        <v>6169392</v>
      </c>
      <c r="F18" s="1">
        <v>323836</v>
      </c>
      <c r="G18" s="9">
        <f t="shared" si="0"/>
        <v>28997520</v>
      </c>
    </row>
    <row r="19" spans="1:7" x14ac:dyDescent="0.35">
      <c r="A19" s="8" t="s">
        <v>24</v>
      </c>
      <c r="B19" s="1">
        <v>1341996</v>
      </c>
      <c r="C19" s="1">
        <v>101504</v>
      </c>
      <c r="D19" s="1">
        <v>1482</v>
      </c>
      <c r="E19" s="1">
        <v>1359161</v>
      </c>
      <c r="F19" s="1">
        <v>103863</v>
      </c>
      <c r="G19" s="9">
        <f t="shared" si="0"/>
        <v>2908006</v>
      </c>
    </row>
    <row r="20" spans="1:7" x14ac:dyDescent="0.35">
      <c r="A20" s="8" t="s">
        <v>25</v>
      </c>
      <c r="B20" s="1">
        <v>2493</v>
      </c>
      <c r="C20" s="1">
        <v>16</v>
      </c>
      <c r="D20" s="1">
        <v>0</v>
      </c>
      <c r="E20" s="1">
        <v>43188</v>
      </c>
      <c r="F20" s="1">
        <v>0</v>
      </c>
      <c r="G20" s="9">
        <f t="shared" si="0"/>
        <v>45697</v>
      </c>
    </row>
    <row r="21" spans="1:7" x14ac:dyDescent="0.35">
      <c r="A21" s="8" t="s">
        <v>26</v>
      </c>
      <c r="B21" s="1">
        <v>18750828</v>
      </c>
      <c r="C21" s="1">
        <v>10307131</v>
      </c>
      <c r="D21" s="1">
        <v>324585</v>
      </c>
      <c r="E21" s="1">
        <v>11064524</v>
      </c>
      <c r="F21" s="1">
        <v>164616</v>
      </c>
      <c r="G21" s="9">
        <f t="shared" si="0"/>
        <v>40611684</v>
      </c>
    </row>
    <row r="22" spans="1:7" x14ac:dyDescent="0.35">
      <c r="A22" s="8" t="s">
        <v>27</v>
      </c>
      <c r="B22" s="1">
        <v>13992304</v>
      </c>
      <c r="C22" s="1">
        <v>5603692</v>
      </c>
      <c r="D22" s="1">
        <v>2680329</v>
      </c>
      <c r="E22" s="1">
        <v>10604883</v>
      </c>
      <c r="F22" s="1">
        <v>161000</v>
      </c>
      <c r="G22" s="9">
        <f t="shared" si="0"/>
        <v>33042208</v>
      </c>
    </row>
    <row r="23" spans="1:7" x14ac:dyDescent="0.35">
      <c r="A23" s="8" t="s">
        <v>28</v>
      </c>
      <c r="B23" s="1">
        <v>224472</v>
      </c>
      <c r="C23" s="1">
        <v>36230</v>
      </c>
      <c r="D23" s="1">
        <v>5921</v>
      </c>
      <c r="E23" s="1">
        <v>38697</v>
      </c>
      <c r="F23" s="1">
        <v>235255</v>
      </c>
      <c r="G23" s="9">
        <f t="shared" si="0"/>
        <v>540575</v>
      </c>
    </row>
    <row r="24" spans="1:7" x14ac:dyDescent="0.35">
      <c r="A24" s="8" t="s">
        <v>29</v>
      </c>
      <c r="B24" s="1">
        <v>903570</v>
      </c>
      <c r="C24" s="1">
        <v>15714</v>
      </c>
      <c r="D24" s="1">
        <v>15679</v>
      </c>
      <c r="E24" s="1">
        <v>397503</v>
      </c>
      <c r="F24" s="1">
        <v>706364</v>
      </c>
      <c r="G24" s="9">
        <f t="shared" si="0"/>
        <v>2038830</v>
      </c>
    </row>
    <row r="25" spans="1:7" x14ac:dyDescent="0.35">
      <c r="A25" s="8" t="s">
        <v>30</v>
      </c>
      <c r="B25" s="1">
        <v>45701</v>
      </c>
      <c r="C25" s="1">
        <v>2109</v>
      </c>
      <c r="D25" s="1">
        <v>485</v>
      </c>
      <c r="E25" s="1">
        <v>14820</v>
      </c>
      <c r="F25" s="1">
        <v>292465</v>
      </c>
      <c r="G25" s="9">
        <f t="shared" si="0"/>
        <v>355580</v>
      </c>
    </row>
    <row r="26" spans="1:7" x14ac:dyDescent="0.35">
      <c r="A26" s="8" t="s">
        <v>31</v>
      </c>
      <c r="B26" s="1">
        <v>78296</v>
      </c>
      <c r="C26" s="1">
        <v>15654</v>
      </c>
      <c r="D26" s="1">
        <v>361</v>
      </c>
      <c r="E26" s="1">
        <v>31602</v>
      </c>
      <c r="F26" s="1">
        <v>404695</v>
      </c>
      <c r="G26" s="9">
        <f t="shared" si="0"/>
        <v>530608</v>
      </c>
    </row>
    <row r="27" spans="1:7" x14ac:dyDescent="0.35">
      <c r="A27" s="8" t="s">
        <v>32</v>
      </c>
      <c r="B27" s="1">
        <v>9903970</v>
      </c>
      <c r="C27" s="1">
        <v>458324</v>
      </c>
      <c r="D27" s="1">
        <v>1279149</v>
      </c>
      <c r="E27" s="1">
        <v>6393452</v>
      </c>
      <c r="F27" s="1">
        <v>135162</v>
      </c>
      <c r="G27" s="9">
        <f t="shared" si="0"/>
        <v>18170057</v>
      </c>
    </row>
    <row r="28" spans="1:7" x14ac:dyDescent="0.35">
      <c r="A28" s="8" t="s">
        <v>33</v>
      </c>
      <c r="B28" s="1">
        <v>71984</v>
      </c>
      <c r="C28" s="1">
        <v>2395</v>
      </c>
      <c r="D28" s="1">
        <v>2445</v>
      </c>
      <c r="E28" s="1">
        <v>73630</v>
      </c>
      <c r="F28" s="1">
        <v>880</v>
      </c>
      <c r="G28" s="9">
        <f t="shared" si="0"/>
        <v>151334</v>
      </c>
    </row>
    <row r="29" spans="1:7" x14ac:dyDescent="0.35">
      <c r="A29" s="8" t="s">
        <v>34</v>
      </c>
      <c r="B29" s="1">
        <v>2531460</v>
      </c>
      <c r="C29" s="1">
        <v>4015947</v>
      </c>
      <c r="D29" s="1">
        <v>85560</v>
      </c>
      <c r="E29" s="1">
        <v>347949</v>
      </c>
      <c r="F29" s="1">
        <v>52961</v>
      </c>
      <c r="G29" s="9">
        <f t="shared" si="0"/>
        <v>7033877</v>
      </c>
    </row>
    <row r="30" spans="1:7" x14ac:dyDescent="0.35">
      <c r="A30" s="8" t="s">
        <v>35</v>
      </c>
      <c r="B30" s="1">
        <v>13937630</v>
      </c>
      <c r="C30" s="1">
        <v>13693316</v>
      </c>
      <c r="D30" s="1">
        <v>7903857</v>
      </c>
      <c r="E30" s="1">
        <v>20840203</v>
      </c>
      <c r="F30" s="1">
        <v>154808</v>
      </c>
      <c r="G30" s="9">
        <f t="shared" si="0"/>
        <v>56529814</v>
      </c>
    </row>
    <row r="31" spans="1:7" x14ac:dyDescent="0.35">
      <c r="A31" s="8" t="s">
        <v>36</v>
      </c>
      <c r="B31" s="1">
        <v>148010</v>
      </c>
      <c r="C31" s="1">
        <v>1144</v>
      </c>
      <c r="D31" s="1">
        <v>2016</v>
      </c>
      <c r="E31" s="1">
        <v>90506</v>
      </c>
      <c r="F31" s="1">
        <v>27320</v>
      </c>
      <c r="G31" s="9">
        <f t="shared" si="0"/>
        <v>268996</v>
      </c>
    </row>
    <row r="32" spans="1:7" x14ac:dyDescent="0.35">
      <c r="A32" s="8" t="s">
        <v>37</v>
      </c>
      <c r="B32" s="1">
        <v>9518660</v>
      </c>
      <c r="C32" s="1">
        <v>518795</v>
      </c>
      <c r="D32" s="1">
        <v>4500491</v>
      </c>
      <c r="E32" s="1">
        <v>9888746</v>
      </c>
      <c r="F32" s="1">
        <v>66772</v>
      </c>
      <c r="G32" s="9">
        <f t="shared" si="0"/>
        <v>24493464</v>
      </c>
    </row>
    <row r="33" spans="1:7" x14ac:dyDescent="0.35">
      <c r="A33" s="8" t="s">
        <v>38</v>
      </c>
      <c r="B33" s="1">
        <v>4232539</v>
      </c>
      <c r="C33" s="1">
        <v>4226306</v>
      </c>
      <c r="D33" s="1">
        <v>19063058</v>
      </c>
      <c r="E33" s="1">
        <v>4934673</v>
      </c>
      <c r="F33" s="1">
        <v>177992</v>
      </c>
      <c r="G33" s="9">
        <f t="shared" si="0"/>
        <v>32634568</v>
      </c>
    </row>
    <row r="34" spans="1:7" x14ac:dyDescent="0.35">
      <c r="A34" s="8" t="s">
        <v>39</v>
      </c>
      <c r="B34" s="1">
        <v>739031</v>
      </c>
      <c r="C34" s="1">
        <v>7131</v>
      </c>
      <c r="D34" s="1">
        <v>5460</v>
      </c>
      <c r="E34" s="1">
        <v>360204</v>
      </c>
      <c r="F34" s="1">
        <v>206035</v>
      </c>
      <c r="G34" s="9">
        <f t="shared" si="0"/>
        <v>1317861</v>
      </c>
    </row>
    <row r="35" spans="1:7" x14ac:dyDescent="0.35">
      <c r="A35" s="8" t="s">
        <v>40</v>
      </c>
      <c r="B35" s="1">
        <v>19019641</v>
      </c>
      <c r="C35" s="1">
        <v>33016785</v>
      </c>
      <c r="D35" s="1">
        <v>984725</v>
      </c>
      <c r="E35" s="1">
        <v>14480025</v>
      </c>
      <c r="F35" s="1">
        <v>408678</v>
      </c>
      <c r="G35" s="9">
        <f t="shared" si="0"/>
        <v>67909854</v>
      </c>
    </row>
    <row r="36" spans="1:7" x14ac:dyDescent="0.35">
      <c r="A36" s="8" t="s">
        <v>41</v>
      </c>
      <c r="B36" s="1">
        <v>1852123</v>
      </c>
      <c r="C36" s="1">
        <v>866318</v>
      </c>
      <c r="D36" s="1">
        <v>284615</v>
      </c>
      <c r="E36" s="1">
        <v>1371971</v>
      </c>
      <c r="F36" s="1">
        <v>17659</v>
      </c>
      <c r="G36" s="9">
        <f t="shared" si="0"/>
        <v>4392686</v>
      </c>
    </row>
    <row r="37" spans="1:7" x14ac:dyDescent="0.35">
      <c r="A37" s="13" t="s">
        <v>42</v>
      </c>
      <c r="B37" s="14">
        <v>19077916</v>
      </c>
      <c r="C37" s="14">
        <v>630921</v>
      </c>
      <c r="D37" s="14">
        <v>952886</v>
      </c>
      <c r="E37" s="14">
        <v>16279340</v>
      </c>
      <c r="F37" s="14">
        <v>540356</v>
      </c>
      <c r="G37" s="15">
        <f t="shared" si="0"/>
        <v>37481419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sqref="A1:B9"/>
    </sheetView>
  </sheetViews>
  <sheetFormatPr defaultRowHeight="14.5" x14ac:dyDescent="0.35"/>
  <cols>
    <col min="1" max="2" width="22" customWidth="1"/>
    <col min="3" max="3" width="56.6328125" bestFit="1" customWidth="1"/>
  </cols>
  <sheetData>
    <row r="1" spans="1:3" x14ac:dyDescent="0.35">
      <c r="A1" s="2" t="s">
        <v>43</v>
      </c>
      <c r="B1" s="2" t="s">
        <v>44</v>
      </c>
      <c r="C1" s="2" t="s">
        <v>45</v>
      </c>
    </row>
    <row r="2" spans="1:3" x14ac:dyDescent="0.35">
      <c r="A2" s="1" t="s">
        <v>46</v>
      </c>
      <c r="B2" s="1">
        <v>0.55000000000000004</v>
      </c>
      <c r="C2" s="1" t="s">
        <v>47</v>
      </c>
    </row>
    <row r="3" spans="1:3" x14ac:dyDescent="0.35">
      <c r="A3" s="1" t="s">
        <v>48</v>
      </c>
      <c r="B3" s="1">
        <v>0.45</v>
      </c>
      <c r="C3" s="1" t="s">
        <v>49</v>
      </c>
    </row>
    <row r="4" spans="1:3" x14ac:dyDescent="0.35">
      <c r="A4" s="1" t="s">
        <v>50</v>
      </c>
      <c r="B4" s="1">
        <v>0.95</v>
      </c>
      <c r="C4" s="1" t="s">
        <v>51</v>
      </c>
    </row>
    <row r="5" spans="1:3" x14ac:dyDescent="0.35">
      <c r="A5" s="1" t="s">
        <v>52</v>
      </c>
      <c r="B5" s="1">
        <v>0.05</v>
      </c>
      <c r="C5" s="1" t="s">
        <v>53</v>
      </c>
    </row>
    <row r="6" spans="1:3" x14ac:dyDescent="0.35">
      <c r="A6" s="1" t="s">
        <v>54</v>
      </c>
      <c r="B6" s="1">
        <v>0.03</v>
      </c>
      <c r="C6" s="1" t="s">
        <v>55</v>
      </c>
    </row>
    <row r="7" spans="1:3" x14ac:dyDescent="0.35">
      <c r="A7" s="1" t="s">
        <v>56</v>
      </c>
      <c r="B7" s="1">
        <v>0.02</v>
      </c>
      <c r="C7" s="1" t="s">
        <v>57</v>
      </c>
    </row>
    <row r="8" spans="1:3" x14ac:dyDescent="0.35">
      <c r="A8" s="1" t="s">
        <v>58</v>
      </c>
      <c r="B8" s="1">
        <v>0.1</v>
      </c>
      <c r="C8" s="1" t="s">
        <v>59</v>
      </c>
    </row>
    <row r="9" spans="1:3" x14ac:dyDescent="0.35">
      <c r="A9" s="1" t="s">
        <v>60</v>
      </c>
      <c r="B9" s="1">
        <v>0.05</v>
      </c>
      <c r="C9" s="1" t="s">
        <v>61</v>
      </c>
    </row>
    <row r="12" spans="1:3" x14ac:dyDescent="0.35">
      <c r="C12" s="36"/>
    </row>
    <row r="14" spans="1:3" x14ac:dyDescent="0.35">
      <c r="C14" s="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3" sqref="C3"/>
    </sheetView>
  </sheetViews>
  <sheetFormatPr defaultRowHeight="14.5" x14ac:dyDescent="0.35"/>
  <cols>
    <col min="1" max="1" width="22" customWidth="1"/>
    <col min="2" max="2" width="27.54296875" bestFit="1" customWidth="1"/>
    <col min="3" max="3" width="22" customWidth="1"/>
  </cols>
  <sheetData>
    <row r="1" spans="1:3" x14ac:dyDescent="0.35">
      <c r="A1" s="2" t="s">
        <v>62</v>
      </c>
      <c r="B1" s="2" t="s">
        <v>63</v>
      </c>
      <c r="C1" s="2" t="s">
        <v>64</v>
      </c>
    </row>
    <row r="2" spans="1:3" x14ac:dyDescent="0.35">
      <c r="A2" s="1" t="s">
        <v>65</v>
      </c>
      <c r="B2" s="1" t="s">
        <v>66</v>
      </c>
      <c r="C2" s="1">
        <v>2</v>
      </c>
    </row>
    <row r="3" spans="1:3" x14ac:dyDescent="0.35">
      <c r="A3" s="1" t="s">
        <v>67</v>
      </c>
      <c r="B3" s="1" t="s">
        <v>68</v>
      </c>
      <c r="C3" s="1">
        <v>1</v>
      </c>
    </row>
    <row r="4" spans="1:3" x14ac:dyDescent="0.35">
      <c r="A4" s="1" t="s">
        <v>69</v>
      </c>
      <c r="B4" s="1" t="s">
        <v>70</v>
      </c>
      <c r="C4" s="1">
        <v>1</v>
      </c>
    </row>
    <row r="5" spans="1:3" x14ac:dyDescent="0.35">
      <c r="A5" s="1" t="s">
        <v>71</v>
      </c>
      <c r="B5" s="1" t="s">
        <v>5</v>
      </c>
      <c r="C5" s="1">
        <v>1</v>
      </c>
    </row>
    <row r="6" spans="1:3" x14ac:dyDescent="0.35">
      <c r="A6" s="1" t="s">
        <v>72</v>
      </c>
      <c r="B6" s="1" t="s">
        <v>1</v>
      </c>
      <c r="C6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"/>
  <sheetViews>
    <sheetView zoomScale="91" workbookViewId="0"/>
  </sheetViews>
  <sheetFormatPr defaultRowHeight="14.5" x14ac:dyDescent="0.35"/>
  <cols>
    <col min="1" max="3" width="24" customWidth="1"/>
    <col min="4" max="5" width="26.453125" customWidth="1"/>
    <col min="6" max="6" width="24.81640625" customWidth="1"/>
    <col min="7" max="11" width="24" customWidth="1"/>
  </cols>
  <sheetData>
    <row r="1" spans="1:11" x14ac:dyDescent="0.35">
      <c r="A1" s="10" t="s">
        <v>0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2" t="s">
        <v>82</v>
      </c>
    </row>
    <row r="2" spans="1:11" x14ac:dyDescent="0.35">
      <c r="A2" s="8" t="str">
        <f>'Livestock Count'!A2</f>
        <v>Andaman &amp; Nicobar Islands</v>
      </c>
      <c r="B2" s="1">
        <f>'Livestock Count'!G2</f>
        <v>145392</v>
      </c>
      <c r="C2" s="3">
        <f>B2*Assumptions!B2*Assumptions!B3</f>
        <v>35984.520000000004</v>
      </c>
      <c r="D2" s="3">
        <f>(B2+C2)*Assumptions!B4</f>
        <v>172307.69400000002</v>
      </c>
      <c r="E2" s="3">
        <v>0</v>
      </c>
      <c r="F2" s="3">
        <f t="shared" ref="F2:F37" si="0">(D2-E2)*2</f>
        <v>344615.38800000004</v>
      </c>
      <c r="G2" s="3">
        <f>F2*(1+Assumptions!B5+Assumptions!B6+Assumptions!B7)</f>
        <v>379076.92680000007</v>
      </c>
      <c r="H2" s="3">
        <f>G2*(1+Assumptions!B8+Assumptions!B9)</f>
        <v>435938.46582000016</v>
      </c>
      <c r="I2" s="3">
        <f t="shared" ref="I2:I37" si="1">H2/12</f>
        <v>36328.205485000013</v>
      </c>
      <c r="J2" s="3">
        <f t="shared" ref="J2:J37" si="2">H2/2</f>
        <v>217969.23291000008</v>
      </c>
      <c r="K2" s="16">
        <f t="shared" ref="K2:K37" si="3">H2</f>
        <v>435938.46582000016</v>
      </c>
    </row>
    <row r="3" spans="1:11" x14ac:dyDescent="0.35">
      <c r="A3" s="8" t="str">
        <f>'Livestock Count'!A3</f>
        <v>Andhra Pradesh</v>
      </c>
      <c r="B3" s="1">
        <f>'Livestock Count'!G3</f>
        <v>34060648</v>
      </c>
      <c r="C3" s="3">
        <f>B3*Assumptions!B2*Assumptions!B3</f>
        <v>8430010.3800000008</v>
      </c>
      <c r="D3" s="3">
        <f>(B3+C3)*Assumptions!B4</f>
        <v>40366125.461000003</v>
      </c>
      <c r="E3" s="3">
        <v>0</v>
      </c>
      <c r="F3" s="3">
        <f t="shared" si="0"/>
        <v>80732250.922000006</v>
      </c>
      <c r="G3" s="3">
        <f>F3*(1+Assumptions!B5+Assumptions!B6+Assumptions!B7)</f>
        <v>88805476.014200017</v>
      </c>
      <c r="H3" s="3">
        <f>G3*(1+Assumptions!B8+Assumptions!B9)</f>
        <v>102126297.41633002</v>
      </c>
      <c r="I3" s="3">
        <f t="shared" si="1"/>
        <v>8510524.7846941687</v>
      </c>
      <c r="J3" s="3">
        <f t="shared" si="2"/>
        <v>51063148.708165012</v>
      </c>
      <c r="K3" s="16">
        <f t="shared" si="3"/>
        <v>102126297.41633002</v>
      </c>
    </row>
    <row r="4" spans="1:11" x14ac:dyDescent="0.35">
      <c r="A4" s="8" t="str">
        <f>'Livestock Count'!A4</f>
        <v>Arunachal Pradesh</v>
      </c>
      <c r="B4" s="1">
        <f>'Livestock Count'!G4</f>
        <v>784148</v>
      </c>
      <c r="C4" s="3">
        <f>B4*Assumptions!B2*Assumptions!B3</f>
        <v>194076.63</v>
      </c>
      <c r="D4" s="3">
        <f>(B4+C4)*Assumptions!B4</f>
        <v>929313.39850000001</v>
      </c>
      <c r="E4" s="3">
        <v>0</v>
      </c>
      <c r="F4" s="3">
        <f t="shared" si="0"/>
        <v>1858626.797</v>
      </c>
      <c r="G4" s="3">
        <f>F4*(1+Assumptions!B5+Assumptions!B6+Assumptions!B7)</f>
        <v>2044489.4767000002</v>
      </c>
      <c r="H4" s="3">
        <f>G4*(1+Assumptions!B8+Assumptions!B9)</f>
        <v>2351162.8982050004</v>
      </c>
      <c r="I4" s="3">
        <f t="shared" si="1"/>
        <v>195930.24151708337</v>
      </c>
      <c r="J4" s="3">
        <f t="shared" si="2"/>
        <v>1175581.4491025002</v>
      </c>
      <c r="K4" s="16">
        <f t="shared" si="3"/>
        <v>2351162.8982050004</v>
      </c>
    </row>
    <row r="5" spans="1:11" x14ac:dyDescent="0.35">
      <c r="A5" s="8" t="str">
        <f>'Livestock Count'!A5</f>
        <v>Assam</v>
      </c>
      <c r="B5" s="1">
        <f>'Livestock Count'!G5</f>
        <v>18077227</v>
      </c>
      <c r="C5" s="3">
        <f>B5*Assumptions!B2*Assumptions!B3</f>
        <v>4474113.682500001</v>
      </c>
      <c r="D5" s="3">
        <f>(B5+C5)*Assumptions!B4</f>
        <v>21423773.648375001</v>
      </c>
      <c r="E5" s="3">
        <v>0</v>
      </c>
      <c r="F5" s="3">
        <f t="shared" si="0"/>
        <v>42847547.296750002</v>
      </c>
      <c r="G5" s="3">
        <f>F5*(1+Assumptions!B5+Assumptions!B6+Assumptions!B7)</f>
        <v>47132302.026425004</v>
      </c>
      <c r="H5" s="3">
        <f>G5*(1+Assumptions!B8+Assumptions!B9)</f>
        <v>54202147.330388762</v>
      </c>
      <c r="I5" s="3">
        <f t="shared" si="1"/>
        <v>4516845.6108657299</v>
      </c>
      <c r="J5" s="3">
        <f t="shared" si="2"/>
        <v>27101073.665194381</v>
      </c>
      <c r="K5" s="16">
        <f t="shared" si="3"/>
        <v>54202147.330388762</v>
      </c>
    </row>
    <row r="6" spans="1:11" x14ac:dyDescent="0.35">
      <c r="A6" s="8" t="str">
        <f>'Livestock Count'!A6</f>
        <v>Bihar</v>
      </c>
      <c r="B6" s="1">
        <f>'Livestock Count'!G6</f>
        <v>36495801</v>
      </c>
      <c r="C6" s="3">
        <f>B6*Assumptions!B2*Assumptions!B3</f>
        <v>9032710.7475000005</v>
      </c>
      <c r="D6" s="3">
        <f>(B6+C6)*Assumptions!B4</f>
        <v>43252086.160125002</v>
      </c>
      <c r="E6" s="3">
        <v>0</v>
      </c>
      <c r="F6" s="3">
        <f t="shared" si="0"/>
        <v>86504172.320250005</v>
      </c>
      <c r="G6" s="3">
        <f>F6*(1+Assumptions!B5+Assumptions!B6+Assumptions!B7)</f>
        <v>95154589.552275017</v>
      </c>
      <c r="H6" s="3">
        <f>G6*(1+Assumptions!B8+Assumptions!B9)</f>
        <v>109427777.98511629</v>
      </c>
      <c r="I6" s="3">
        <f t="shared" si="1"/>
        <v>9118981.4987596907</v>
      </c>
      <c r="J6" s="3">
        <f t="shared" si="2"/>
        <v>54713888.992558144</v>
      </c>
      <c r="K6" s="16">
        <f t="shared" si="3"/>
        <v>109427777.98511629</v>
      </c>
    </row>
    <row r="7" spans="1:11" x14ac:dyDescent="0.35">
      <c r="A7" s="8" t="str">
        <f>'Livestock Count'!A7</f>
        <v>Chandigarh</v>
      </c>
      <c r="B7" s="1">
        <f>'Livestock Count'!G7</f>
        <v>26753</v>
      </c>
      <c r="C7" s="3">
        <f>B7*Assumptions!B2*Assumptions!B3</f>
        <v>6621.3675000000012</v>
      </c>
      <c r="D7" s="3">
        <f>(B7+C7)*Assumptions!B4</f>
        <v>31705.649125</v>
      </c>
      <c r="E7" s="3">
        <v>0</v>
      </c>
      <c r="F7" s="3">
        <f t="shared" si="0"/>
        <v>63411.29825</v>
      </c>
      <c r="G7" s="3">
        <f>F7*(1+Assumptions!B5+Assumptions!B6+Assumptions!B7)</f>
        <v>69752.428075000003</v>
      </c>
      <c r="H7" s="3">
        <f>G7*(1+Assumptions!B8+Assumptions!B9)</f>
        <v>80215.292286250013</v>
      </c>
      <c r="I7" s="3">
        <f t="shared" si="1"/>
        <v>6684.6076905208347</v>
      </c>
      <c r="J7" s="3">
        <f t="shared" si="2"/>
        <v>40107.646143125006</v>
      </c>
      <c r="K7" s="16">
        <f t="shared" si="3"/>
        <v>80215.292286250013</v>
      </c>
    </row>
    <row r="8" spans="1:11" x14ac:dyDescent="0.35">
      <c r="A8" s="8" t="str">
        <f>'Livestock Count'!A8</f>
        <v>Chhattisgarh</v>
      </c>
      <c r="B8" s="1">
        <f>'Livestock Count'!G8</f>
        <v>15871463</v>
      </c>
      <c r="C8" s="3">
        <f>B8*Assumptions!B2*Assumptions!B3</f>
        <v>3928187.0925000003</v>
      </c>
      <c r="D8" s="3">
        <f>(B8+C8)*Assumptions!B4</f>
        <v>18809667.587875001</v>
      </c>
      <c r="E8" s="3">
        <v>0</v>
      </c>
      <c r="F8" s="3">
        <f t="shared" si="0"/>
        <v>37619335.175750002</v>
      </c>
      <c r="G8" s="3">
        <f>F8*(1+Assumptions!B5+Assumptions!B6+Assumptions!B7)</f>
        <v>41381268.693325005</v>
      </c>
      <c r="H8" s="3">
        <f>G8*(1+Assumptions!B8+Assumptions!B9)</f>
        <v>47588458.997323759</v>
      </c>
      <c r="I8" s="3">
        <f t="shared" si="1"/>
        <v>3965704.9164436464</v>
      </c>
      <c r="J8" s="3">
        <f t="shared" si="2"/>
        <v>23794229.498661879</v>
      </c>
      <c r="K8" s="16">
        <f t="shared" si="3"/>
        <v>47588458.997323759</v>
      </c>
    </row>
    <row r="9" spans="1:11" x14ac:dyDescent="0.35">
      <c r="A9" s="8" t="str">
        <f>'Livestock Count'!A9</f>
        <v>Dadra &amp; Nagar Haveli</v>
      </c>
      <c r="B9" s="1">
        <f>'Livestock Count'!G9</f>
        <v>48365</v>
      </c>
      <c r="C9" s="3">
        <f>B9*Assumptions!B2*Assumptions!B3</f>
        <v>11970.337500000001</v>
      </c>
      <c r="D9" s="3">
        <f>(B9+C9)*Assumptions!B4</f>
        <v>57318.570625</v>
      </c>
      <c r="E9" s="3">
        <v>0</v>
      </c>
      <c r="F9" s="3">
        <f t="shared" si="0"/>
        <v>114637.14125</v>
      </c>
      <c r="G9" s="3">
        <f>F9*(1+Assumptions!B5+Assumptions!B6+Assumptions!B7)</f>
        <v>126100.85537500001</v>
      </c>
      <c r="H9" s="3">
        <f>G9*(1+Assumptions!B8+Assumptions!B9)</f>
        <v>145015.98368125004</v>
      </c>
      <c r="I9" s="3">
        <f t="shared" si="1"/>
        <v>12084.665306770838</v>
      </c>
      <c r="J9" s="3">
        <f t="shared" si="2"/>
        <v>72507.991840625022</v>
      </c>
      <c r="K9" s="16">
        <f t="shared" si="3"/>
        <v>145015.98368125004</v>
      </c>
    </row>
    <row r="10" spans="1:11" x14ac:dyDescent="0.35">
      <c r="A10" s="8" t="str">
        <f>'Livestock Count'!A10</f>
        <v>Daman &amp; Diu</v>
      </c>
      <c r="B10" s="1">
        <f>'Livestock Count'!G10</f>
        <v>3269</v>
      </c>
      <c r="C10" s="3">
        <f>B10*Assumptions!B2*Assumptions!B3</f>
        <v>809.07749999999999</v>
      </c>
      <c r="D10" s="3">
        <f>(B10+C10)*Assumptions!B4</f>
        <v>3874.1736249999999</v>
      </c>
      <c r="E10" s="3">
        <v>0</v>
      </c>
      <c r="F10" s="3">
        <f t="shared" si="0"/>
        <v>7748.3472499999998</v>
      </c>
      <c r="G10" s="3">
        <f>F10*(1+Assumptions!B5+Assumptions!B6+Assumptions!B7)</f>
        <v>8523.1819750000013</v>
      </c>
      <c r="H10" s="3">
        <f>G10*(1+Assumptions!B8+Assumptions!B9)</f>
        <v>9801.6592712500023</v>
      </c>
      <c r="I10" s="3">
        <f t="shared" si="1"/>
        <v>816.80493927083353</v>
      </c>
      <c r="J10" s="3">
        <f t="shared" si="2"/>
        <v>4900.8296356250012</v>
      </c>
      <c r="K10" s="16">
        <f t="shared" si="3"/>
        <v>9801.6592712500023</v>
      </c>
    </row>
    <row r="11" spans="1:11" x14ac:dyDescent="0.35">
      <c r="A11" s="8" t="str">
        <f>'Livestock Count'!A11</f>
        <v>Delhi</v>
      </c>
      <c r="B11" s="1">
        <f>'Livestock Count'!G11</f>
        <v>356323</v>
      </c>
      <c r="C11" s="3">
        <f>B11*Assumptions!B2*Assumptions!B3</f>
        <v>88189.942500000019</v>
      </c>
      <c r="D11" s="3">
        <f>(B11+C11)*Assumptions!B4</f>
        <v>422287.29537499999</v>
      </c>
      <c r="E11" s="3">
        <v>0</v>
      </c>
      <c r="F11" s="3">
        <f t="shared" si="0"/>
        <v>844574.59074999997</v>
      </c>
      <c r="G11" s="3">
        <f>F11*(1+Assumptions!B5+Assumptions!B6+Assumptions!B7)</f>
        <v>929032.04982499999</v>
      </c>
      <c r="H11" s="3">
        <f>G11*(1+Assumptions!B8+Assumptions!B9)</f>
        <v>1068386.8572987502</v>
      </c>
      <c r="I11" s="3">
        <f t="shared" si="1"/>
        <v>89032.238108229183</v>
      </c>
      <c r="J11" s="3">
        <f t="shared" si="2"/>
        <v>534193.4286493751</v>
      </c>
      <c r="K11" s="16">
        <f t="shared" si="3"/>
        <v>1068386.8572987502</v>
      </c>
    </row>
    <row r="12" spans="1:11" x14ac:dyDescent="0.35">
      <c r="A12" s="8" t="str">
        <f>'Livestock Count'!A12</f>
        <v>Goa</v>
      </c>
      <c r="B12" s="1">
        <f>'Livestock Count'!G12</f>
        <v>132388</v>
      </c>
      <c r="C12" s="3">
        <f>B12*Assumptions!B2*Assumptions!B3</f>
        <v>32766.030000000006</v>
      </c>
      <c r="D12" s="3">
        <f>(B12+C12)*Assumptions!B4</f>
        <v>156896.3285</v>
      </c>
      <c r="E12" s="3">
        <v>0</v>
      </c>
      <c r="F12" s="3">
        <f t="shared" si="0"/>
        <v>313792.65700000001</v>
      </c>
      <c r="G12" s="3">
        <f>F12*(1+Assumptions!B5+Assumptions!B6+Assumptions!B7)</f>
        <v>345171.92270000005</v>
      </c>
      <c r="H12" s="3">
        <f>G12*(1+Assumptions!B8+Assumptions!B9)</f>
        <v>396947.71110500011</v>
      </c>
      <c r="I12" s="3">
        <f t="shared" si="1"/>
        <v>33078.975925416678</v>
      </c>
      <c r="J12" s="3">
        <f t="shared" si="2"/>
        <v>198473.85555250006</v>
      </c>
      <c r="K12" s="16">
        <f t="shared" si="3"/>
        <v>396947.71110500011</v>
      </c>
    </row>
    <row r="13" spans="1:11" x14ac:dyDescent="0.35">
      <c r="A13" s="8" t="str">
        <f>'Livestock Count'!A13</f>
        <v>Gujarat</v>
      </c>
      <c r="B13" s="1">
        <f>'Livestock Count'!G13</f>
        <v>26832552</v>
      </c>
      <c r="C13" s="3">
        <f>B13*Assumptions!B2*Assumptions!B3</f>
        <v>6641056.620000001</v>
      </c>
      <c r="D13" s="3">
        <f>(B13+C13)*Assumptions!B4</f>
        <v>31799928.188999999</v>
      </c>
      <c r="E13" s="3">
        <v>0</v>
      </c>
      <c r="F13" s="3">
        <f t="shared" si="0"/>
        <v>63599856.377999999</v>
      </c>
      <c r="G13" s="3">
        <f>F13*(1+Assumptions!B5+Assumptions!B6+Assumptions!B7)</f>
        <v>69959842.015799999</v>
      </c>
      <c r="H13" s="3">
        <f>G13*(1+Assumptions!B8+Assumptions!B9)</f>
        <v>80453818.318170011</v>
      </c>
      <c r="I13" s="3">
        <f t="shared" si="1"/>
        <v>6704484.8598475009</v>
      </c>
      <c r="J13" s="3">
        <f t="shared" si="2"/>
        <v>40226909.159085006</v>
      </c>
      <c r="K13" s="16">
        <f t="shared" si="3"/>
        <v>80453818.318170011</v>
      </c>
    </row>
    <row r="14" spans="1:11" x14ac:dyDescent="0.35">
      <c r="A14" s="8" t="str">
        <f>'Livestock Count'!A14</f>
        <v>Haryana</v>
      </c>
      <c r="B14" s="1">
        <f>'Livestock Count'!G14</f>
        <v>7027955</v>
      </c>
      <c r="C14" s="3">
        <f>B14*Assumptions!B2*Assumptions!B3</f>
        <v>1739418.8625000003</v>
      </c>
      <c r="D14" s="3">
        <f>(B14+C14)*Assumptions!B4</f>
        <v>8329005.1693750005</v>
      </c>
      <c r="E14" s="3">
        <v>0</v>
      </c>
      <c r="F14" s="3">
        <f t="shared" si="0"/>
        <v>16658010.338750001</v>
      </c>
      <c r="G14" s="3">
        <f>F14*(1+Assumptions!B5+Assumptions!B6+Assumptions!B7)</f>
        <v>18323811.372625001</v>
      </c>
      <c r="H14" s="3">
        <f>G14*(1+Assumptions!B8+Assumptions!B9)</f>
        <v>21072383.078518752</v>
      </c>
      <c r="I14" s="3">
        <f t="shared" si="1"/>
        <v>1756031.9232098961</v>
      </c>
      <c r="J14" s="3">
        <f t="shared" si="2"/>
        <v>10536191.539259376</v>
      </c>
      <c r="K14" s="16">
        <f t="shared" si="3"/>
        <v>21072383.078518752</v>
      </c>
    </row>
    <row r="15" spans="1:11" x14ac:dyDescent="0.35">
      <c r="A15" s="8" t="str">
        <f>'Livestock Count'!A15</f>
        <v>Himachal Pradesh</v>
      </c>
      <c r="B15" s="1">
        <f>'Livestock Count'!G15</f>
        <v>4376817</v>
      </c>
      <c r="C15" s="3">
        <f>B15*Assumptions!B2*Assumptions!B3</f>
        <v>1083262.2075</v>
      </c>
      <c r="D15" s="3">
        <f>(B15+C15)*Assumptions!B4</f>
        <v>5187075.2471249998</v>
      </c>
      <c r="E15" s="3">
        <v>0</v>
      </c>
      <c r="F15" s="3">
        <f t="shared" si="0"/>
        <v>10374150.49425</v>
      </c>
      <c r="G15" s="3">
        <f>F15*(1+Assumptions!B5+Assumptions!B6+Assumptions!B7)</f>
        <v>11411565.543675</v>
      </c>
      <c r="H15" s="3">
        <f>G15*(1+Assumptions!B8+Assumptions!B9)</f>
        <v>13123300.375226252</v>
      </c>
      <c r="I15" s="3">
        <f t="shared" si="1"/>
        <v>1093608.3646021876</v>
      </c>
      <c r="J15" s="3">
        <f t="shared" si="2"/>
        <v>6561650.1876131259</v>
      </c>
      <c r="K15" s="16">
        <f t="shared" si="3"/>
        <v>13123300.375226252</v>
      </c>
    </row>
    <row r="16" spans="1:11" x14ac:dyDescent="0.35">
      <c r="A16" s="8" t="str">
        <f>'Livestock Count'!A16</f>
        <v>Jammu &amp; Kashmir</v>
      </c>
      <c r="B16" s="1">
        <f>'Livestock Count'!G16</f>
        <v>8209005</v>
      </c>
      <c r="C16" s="3">
        <f>B16*Assumptions!B2*Assumptions!B3</f>
        <v>2031728.7375</v>
      </c>
      <c r="D16" s="3">
        <f>(B16+C16)*Assumptions!B4</f>
        <v>9728697.0506250001</v>
      </c>
      <c r="E16" s="3">
        <v>0</v>
      </c>
      <c r="F16" s="3">
        <f t="shared" si="0"/>
        <v>19457394.10125</v>
      </c>
      <c r="G16" s="3">
        <f>F16*(1+Assumptions!B5+Assumptions!B6+Assumptions!B7)</f>
        <v>21403133.511375003</v>
      </c>
      <c r="H16" s="3">
        <f>G16*(1+Assumptions!B8+Assumptions!B9)</f>
        <v>24613603.538081255</v>
      </c>
      <c r="I16" s="3">
        <f t="shared" si="1"/>
        <v>2051133.6281734379</v>
      </c>
      <c r="J16" s="3">
        <f t="shared" si="2"/>
        <v>12306801.769040627</v>
      </c>
      <c r="K16" s="16">
        <f t="shared" si="3"/>
        <v>24613603.538081255</v>
      </c>
    </row>
    <row r="17" spans="1:11" x14ac:dyDescent="0.35">
      <c r="A17" s="8" t="str">
        <f>'Livestock Count'!A17</f>
        <v>Jharkhand</v>
      </c>
      <c r="B17" s="1">
        <f>'Livestock Count'!G17</f>
        <v>23612694</v>
      </c>
      <c r="C17" s="3">
        <f>B17*Assumptions!B2*Assumptions!B3</f>
        <v>5844141.7650000006</v>
      </c>
      <c r="D17" s="3">
        <f>(B17+C17)*Assumptions!B4</f>
        <v>27983993.976749998</v>
      </c>
      <c r="E17" s="3">
        <v>0</v>
      </c>
      <c r="F17" s="3">
        <f t="shared" si="0"/>
        <v>55967987.953499995</v>
      </c>
      <c r="G17" s="3">
        <f>F17*(1+Assumptions!B5+Assumptions!B6+Assumptions!B7)</f>
        <v>61564786.748850003</v>
      </c>
      <c r="H17" s="3">
        <f>G17*(1+Assumptions!B8+Assumptions!B9)</f>
        <v>70799504.76117751</v>
      </c>
      <c r="I17" s="3">
        <f t="shared" si="1"/>
        <v>5899958.7300981255</v>
      </c>
      <c r="J17" s="3">
        <f t="shared" si="2"/>
        <v>35399752.380588755</v>
      </c>
      <c r="K17" s="16">
        <f t="shared" si="3"/>
        <v>70799504.76117751</v>
      </c>
    </row>
    <row r="18" spans="1:11" x14ac:dyDescent="0.35">
      <c r="A18" s="8" t="str">
        <f>'Livestock Count'!A18</f>
        <v>Karnataka</v>
      </c>
      <c r="B18" s="1">
        <f>'Livestock Count'!G18</f>
        <v>28997520</v>
      </c>
      <c r="C18" s="3">
        <f>B18*Assumptions!B2*Assumptions!B3</f>
        <v>7176886.2000000011</v>
      </c>
      <c r="D18" s="3">
        <f>(B18+C18)*Assumptions!B4</f>
        <v>34365685.890000001</v>
      </c>
      <c r="E18" s="3">
        <v>0</v>
      </c>
      <c r="F18" s="3">
        <f t="shared" si="0"/>
        <v>68731371.780000001</v>
      </c>
      <c r="G18" s="3">
        <f>F18*(1+Assumptions!B5+Assumptions!B6+Assumptions!B7)</f>
        <v>75604508.958000004</v>
      </c>
      <c r="H18" s="3">
        <f>G18*(1+Assumptions!B8+Assumptions!B9)</f>
        <v>86945185.301700011</v>
      </c>
      <c r="I18" s="3">
        <f t="shared" si="1"/>
        <v>7245432.1084750006</v>
      </c>
      <c r="J18" s="3">
        <f t="shared" si="2"/>
        <v>43472592.650850005</v>
      </c>
      <c r="K18" s="16">
        <f t="shared" si="3"/>
        <v>86945185.301700011</v>
      </c>
    </row>
    <row r="19" spans="1:11" x14ac:dyDescent="0.35">
      <c r="A19" s="8" t="str">
        <f>'Livestock Count'!A19</f>
        <v>Kerala</v>
      </c>
      <c r="B19" s="1">
        <f>'Livestock Count'!G19</f>
        <v>2908006</v>
      </c>
      <c r="C19" s="3">
        <f>B19*Assumptions!B2*Assumptions!B3</f>
        <v>719731.48499999999</v>
      </c>
      <c r="D19" s="3">
        <f>(B19+C19)*Assumptions!B4</f>
        <v>3446350.6107499995</v>
      </c>
      <c r="E19" s="3">
        <v>0</v>
      </c>
      <c r="F19" s="3">
        <f t="shared" si="0"/>
        <v>6892701.2214999991</v>
      </c>
      <c r="G19" s="3">
        <f>F19*(1+Assumptions!B5+Assumptions!B6+Assumptions!B7)</f>
        <v>7581971.3436499992</v>
      </c>
      <c r="H19" s="3">
        <f>G19*(1+Assumptions!B8+Assumptions!B9)</f>
        <v>8719267.0451974999</v>
      </c>
      <c r="I19" s="3">
        <f t="shared" si="1"/>
        <v>726605.58709979162</v>
      </c>
      <c r="J19" s="3">
        <f t="shared" si="2"/>
        <v>4359633.52259875</v>
      </c>
      <c r="K19" s="16">
        <f t="shared" si="3"/>
        <v>8719267.0451974999</v>
      </c>
    </row>
    <row r="20" spans="1:11" x14ac:dyDescent="0.35">
      <c r="A20" s="8" t="str">
        <f>'Livestock Count'!A20</f>
        <v>Lakshadweep</v>
      </c>
      <c r="B20" s="1">
        <f>'Livestock Count'!G20</f>
        <v>45697</v>
      </c>
      <c r="C20" s="3">
        <f>B20*Assumptions!B2*Assumptions!B3</f>
        <v>11310.007500000002</v>
      </c>
      <c r="D20" s="3">
        <f>(B20+C20)*Assumptions!B4</f>
        <v>54156.657124999998</v>
      </c>
      <c r="E20" s="3">
        <v>0</v>
      </c>
      <c r="F20" s="3">
        <f t="shared" si="0"/>
        <v>108313.31425</v>
      </c>
      <c r="G20" s="3">
        <f>F20*(1+Assumptions!B5+Assumptions!B6+Assumptions!B7)</f>
        <v>119144.64567500001</v>
      </c>
      <c r="H20" s="3">
        <f>G20*(1+Assumptions!B8+Assumptions!B9)</f>
        <v>137016.34252625002</v>
      </c>
      <c r="I20" s="3">
        <f t="shared" si="1"/>
        <v>11418.028543854169</v>
      </c>
      <c r="J20" s="3">
        <f t="shared" si="2"/>
        <v>68508.171263125012</v>
      </c>
      <c r="K20" s="16">
        <f t="shared" si="3"/>
        <v>137016.34252625002</v>
      </c>
    </row>
    <row r="21" spans="1:11" x14ac:dyDescent="0.35">
      <c r="A21" s="8" t="str">
        <f>'Livestock Count'!A21</f>
        <v>Madhya Pradesh</v>
      </c>
      <c r="B21" s="1">
        <f>'Livestock Count'!G21</f>
        <v>40611684</v>
      </c>
      <c r="C21" s="3">
        <f>B21*Assumptions!B2*Assumptions!B3</f>
        <v>10051391.790000001</v>
      </c>
      <c r="D21" s="3">
        <f>(B21+C21)*Assumptions!B4</f>
        <v>48129922.000499994</v>
      </c>
      <c r="E21" s="3">
        <v>0</v>
      </c>
      <c r="F21" s="3">
        <f t="shared" si="0"/>
        <v>96259844.000999987</v>
      </c>
      <c r="G21" s="3">
        <f>F21*(1+Assumptions!B5+Assumptions!B6+Assumptions!B7)</f>
        <v>105885828.40109999</v>
      </c>
      <c r="H21" s="3">
        <f>G21*(1+Assumptions!B8+Assumptions!B9)</f>
        <v>121768702.661265</v>
      </c>
      <c r="I21" s="3">
        <f t="shared" si="1"/>
        <v>10147391.88843875</v>
      </c>
      <c r="J21" s="3">
        <f t="shared" si="2"/>
        <v>60884351.3306325</v>
      </c>
      <c r="K21" s="16">
        <f t="shared" si="3"/>
        <v>121768702.661265</v>
      </c>
    </row>
    <row r="22" spans="1:11" x14ac:dyDescent="0.35">
      <c r="A22" s="8" t="str">
        <f>'Livestock Count'!A22</f>
        <v>Maharashtra</v>
      </c>
      <c r="B22" s="1">
        <f>'Livestock Count'!G22</f>
        <v>33042208</v>
      </c>
      <c r="C22" s="3">
        <f>B22*Assumptions!B2*Assumptions!B3</f>
        <v>8177946.4800000014</v>
      </c>
      <c r="D22" s="3">
        <f>(B22+C22)*Assumptions!B4</f>
        <v>39159146.756000005</v>
      </c>
      <c r="E22" s="3">
        <v>0</v>
      </c>
      <c r="F22" s="3">
        <f t="shared" si="0"/>
        <v>78318293.512000009</v>
      </c>
      <c r="G22" s="3">
        <f>F22*(1+Assumptions!B5+Assumptions!B6+Assumptions!B7)</f>
        <v>86150122.863200024</v>
      </c>
      <c r="H22" s="3">
        <f>G22*(1+Assumptions!B8+Assumptions!B9)</f>
        <v>99072641.29268004</v>
      </c>
      <c r="I22" s="3">
        <f t="shared" si="1"/>
        <v>8256053.4410566697</v>
      </c>
      <c r="J22" s="3">
        <f t="shared" si="2"/>
        <v>49536320.64634002</v>
      </c>
      <c r="K22" s="16">
        <f t="shared" si="3"/>
        <v>99072641.29268004</v>
      </c>
    </row>
    <row r="23" spans="1:11" x14ac:dyDescent="0.35">
      <c r="A23" s="8" t="str">
        <f>'Livestock Count'!A23</f>
        <v>Manipur</v>
      </c>
      <c r="B23" s="1">
        <f>'Livestock Count'!G23</f>
        <v>540575</v>
      </c>
      <c r="C23" s="3">
        <f>B23*Assumptions!B2*Assumptions!B3</f>
        <v>133792.3125</v>
      </c>
      <c r="D23" s="3">
        <f>(B23+C23)*Assumptions!B4</f>
        <v>640648.94687500002</v>
      </c>
      <c r="E23" s="3">
        <v>0</v>
      </c>
      <c r="F23" s="3">
        <f t="shared" si="0"/>
        <v>1281297.89375</v>
      </c>
      <c r="G23" s="3">
        <f>F23*(1+Assumptions!B5+Assumptions!B6+Assumptions!B7)</f>
        <v>1409427.6831250002</v>
      </c>
      <c r="H23" s="3">
        <f>G23*(1+Assumptions!B8+Assumptions!B9)</f>
        <v>1620841.8355937505</v>
      </c>
      <c r="I23" s="3">
        <f t="shared" si="1"/>
        <v>135070.15296614586</v>
      </c>
      <c r="J23" s="3">
        <f t="shared" si="2"/>
        <v>810420.91779687523</v>
      </c>
      <c r="K23" s="16">
        <f t="shared" si="3"/>
        <v>1620841.8355937505</v>
      </c>
    </row>
    <row r="24" spans="1:11" x14ac:dyDescent="0.35">
      <c r="A24" s="8" t="str">
        <f>'Livestock Count'!A24</f>
        <v>Meghalaya</v>
      </c>
      <c r="B24" s="1">
        <f>'Livestock Count'!G24</f>
        <v>2038830</v>
      </c>
      <c r="C24" s="3">
        <f>B24*Assumptions!B2*Assumptions!B3</f>
        <v>504610.42499999999</v>
      </c>
      <c r="D24" s="3">
        <f>(B24+C24)*Assumptions!B4</f>
        <v>2416268.4037499996</v>
      </c>
      <c r="E24" s="3">
        <v>0</v>
      </c>
      <c r="F24" s="3">
        <f t="shared" si="0"/>
        <v>4832536.8074999992</v>
      </c>
      <c r="G24" s="3">
        <f>F24*(1+Assumptions!B5+Assumptions!B6+Assumptions!B7)</f>
        <v>5315790.4882499995</v>
      </c>
      <c r="H24" s="3">
        <f>G24*(1+Assumptions!B8+Assumptions!B9)</f>
        <v>6113159.0614875006</v>
      </c>
      <c r="I24" s="3">
        <f t="shared" si="1"/>
        <v>509429.92179062503</v>
      </c>
      <c r="J24" s="3">
        <f t="shared" si="2"/>
        <v>3056579.5307437503</v>
      </c>
      <c r="K24" s="16">
        <f t="shared" si="3"/>
        <v>6113159.0614875006</v>
      </c>
    </row>
    <row r="25" spans="1:11" x14ac:dyDescent="0.35">
      <c r="A25" s="8" t="str">
        <f>'Livestock Count'!A25</f>
        <v>Mizoram</v>
      </c>
      <c r="B25" s="1">
        <f>'Livestock Count'!G25</f>
        <v>355580</v>
      </c>
      <c r="C25" s="3">
        <f>B25*Assumptions!B2*Assumptions!B3</f>
        <v>88006.050000000017</v>
      </c>
      <c r="D25" s="3">
        <f>(B25+C25)*Assumptions!B4</f>
        <v>421406.7475</v>
      </c>
      <c r="E25" s="3">
        <v>0</v>
      </c>
      <c r="F25" s="3">
        <f t="shared" si="0"/>
        <v>842813.495</v>
      </c>
      <c r="G25" s="3">
        <f>F25*(1+Assumptions!B5+Assumptions!B6+Assumptions!B7)</f>
        <v>927094.84450000012</v>
      </c>
      <c r="H25" s="3">
        <f>G25*(1+Assumptions!B8+Assumptions!B9)</f>
        <v>1066159.0711750002</v>
      </c>
      <c r="I25" s="3">
        <f t="shared" si="1"/>
        <v>88846.589264583352</v>
      </c>
      <c r="J25" s="3">
        <f t="shared" si="2"/>
        <v>533079.53558750008</v>
      </c>
      <c r="K25" s="16">
        <f t="shared" si="3"/>
        <v>1066159.0711750002</v>
      </c>
    </row>
    <row r="26" spans="1:11" x14ac:dyDescent="0.35">
      <c r="A26" s="8" t="str">
        <f>'Livestock Count'!A26</f>
        <v>Nagaland</v>
      </c>
      <c r="B26" s="1">
        <f>'Livestock Count'!G26</f>
        <v>530608</v>
      </c>
      <c r="C26" s="3">
        <f>B26*Assumptions!B2*Assumptions!B3</f>
        <v>131325.48000000001</v>
      </c>
      <c r="D26" s="3">
        <f>(B26+C26)*Assumptions!B4</f>
        <v>628836.80599999998</v>
      </c>
      <c r="E26" s="3">
        <v>0</v>
      </c>
      <c r="F26" s="3">
        <f t="shared" si="0"/>
        <v>1257673.612</v>
      </c>
      <c r="G26" s="3">
        <f>F26*(1+Assumptions!B5+Assumptions!B6+Assumptions!B7)</f>
        <v>1383440.9732000001</v>
      </c>
      <c r="H26" s="3">
        <f>G26*(1+Assumptions!B8+Assumptions!B9)</f>
        <v>1590957.1191800004</v>
      </c>
      <c r="I26" s="3">
        <f t="shared" si="1"/>
        <v>132579.75993166669</v>
      </c>
      <c r="J26" s="3">
        <f t="shared" si="2"/>
        <v>795478.55959000019</v>
      </c>
      <c r="K26" s="16">
        <f t="shared" si="3"/>
        <v>1590957.1191800004</v>
      </c>
    </row>
    <row r="27" spans="1:11" x14ac:dyDescent="0.35">
      <c r="A27" s="8" t="str">
        <f>'Livestock Count'!A27</f>
        <v>Odisha</v>
      </c>
      <c r="B27" s="1">
        <f>'Livestock Count'!G27</f>
        <v>18170057</v>
      </c>
      <c r="C27" s="3">
        <f>B27*Assumptions!B2*Assumptions!B3</f>
        <v>4497089.1075000009</v>
      </c>
      <c r="D27" s="3">
        <f>(B27+C27)*Assumptions!B4</f>
        <v>21533788.802124999</v>
      </c>
      <c r="E27" s="3">
        <v>0</v>
      </c>
      <c r="F27" s="3">
        <f t="shared" si="0"/>
        <v>43067577.604249999</v>
      </c>
      <c r="G27" s="3">
        <f>F27*(1+Assumptions!B5+Assumptions!B6+Assumptions!B7)</f>
        <v>47374335.364675</v>
      </c>
      <c r="H27" s="3">
        <f>G27*(1+Assumptions!B8+Assumptions!B9)</f>
        <v>54480485.669376254</v>
      </c>
      <c r="I27" s="3">
        <f t="shared" si="1"/>
        <v>4540040.4724480212</v>
      </c>
      <c r="J27" s="3">
        <f t="shared" si="2"/>
        <v>27240242.834688127</v>
      </c>
      <c r="K27" s="16">
        <f t="shared" si="3"/>
        <v>54480485.669376254</v>
      </c>
    </row>
    <row r="28" spans="1:11" x14ac:dyDescent="0.35">
      <c r="A28" s="8" t="str">
        <f>'Livestock Count'!A28</f>
        <v>Puducherry</v>
      </c>
      <c r="B28" s="1">
        <f>'Livestock Count'!G28</f>
        <v>151334</v>
      </c>
      <c r="C28" s="3">
        <f>B28*Assumptions!B2*Assumptions!B3</f>
        <v>37455.165000000008</v>
      </c>
      <c r="D28" s="3">
        <f>(B28+C28)*Assumptions!B4</f>
        <v>179349.70675000001</v>
      </c>
      <c r="E28" s="3">
        <v>0</v>
      </c>
      <c r="F28" s="3">
        <f t="shared" si="0"/>
        <v>358699.41350000002</v>
      </c>
      <c r="G28" s="3">
        <f>F28*(1+Assumptions!B5+Assumptions!B6+Assumptions!B7)</f>
        <v>394569.35485000006</v>
      </c>
      <c r="H28" s="3">
        <f>G28*(1+Assumptions!B8+Assumptions!B9)</f>
        <v>453754.7580775001</v>
      </c>
      <c r="I28" s="3">
        <f t="shared" si="1"/>
        <v>37812.896506458339</v>
      </c>
      <c r="J28" s="3">
        <f t="shared" si="2"/>
        <v>226877.37903875005</v>
      </c>
      <c r="K28" s="16">
        <f t="shared" si="3"/>
        <v>453754.7580775001</v>
      </c>
    </row>
    <row r="29" spans="1:11" x14ac:dyDescent="0.35">
      <c r="A29" s="8" t="str">
        <f>'Livestock Count'!A29</f>
        <v>Punjab</v>
      </c>
      <c r="B29" s="1">
        <f>'Livestock Count'!G29</f>
        <v>7033877</v>
      </c>
      <c r="C29" s="3">
        <f>B29*Assumptions!B2*Assumptions!B3</f>
        <v>1740884.5575000001</v>
      </c>
      <c r="D29" s="3">
        <f>(B29+C29)*Assumptions!B4</f>
        <v>8336023.4796250006</v>
      </c>
      <c r="E29" s="3">
        <v>0</v>
      </c>
      <c r="F29" s="3">
        <f t="shared" si="0"/>
        <v>16672046.959250001</v>
      </c>
      <c r="G29" s="3">
        <f>F29*(1+Assumptions!B5+Assumptions!B6+Assumptions!B7)</f>
        <v>18339251.655175004</v>
      </c>
      <c r="H29" s="3">
        <f>G29*(1+Assumptions!B8+Assumptions!B9)</f>
        <v>21090139.403451256</v>
      </c>
      <c r="I29" s="3">
        <f t="shared" si="1"/>
        <v>1757511.6169542714</v>
      </c>
      <c r="J29" s="3">
        <f t="shared" si="2"/>
        <v>10545069.701725628</v>
      </c>
      <c r="K29" s="16">
        <f t="shared" si="3"/>
        <v>21090139.403451256</v>
      </c>
    </row>
    <row r="30" spans="1:11" x14ac:dyDescent="0.35">
      <c r="A30" s="8" t="str">
        <f>'Livestock Count'!A30</f>
        <v>Rajasthan</v>
      </c>
      <c r="B30" s="1">
        <f>'Livestock Count'!G30</f>
        <v>56529814</v>
      </c>
      <c r="C30" s="3">
        <f>B30*Assumptions!B2*Assumptions!B3</f>
        <v>13991128.965000002</v>
      </c>
      <c r="D30" s="3">
        <f>(B30+C30)*Assumptions!B4</f>
        <v>66994895.816749997</v>
      </c>
      <c r="E30" s="3">
        <v>0</v>
      </c>
      <c r="F30" s="3">
        <f t="shared" si="0"/>
        <v>133989791.63349999</v>
      </c>
      <c r="G30" s="3">
        <f>F30*(1+Assumptions!B5+Assumptions!B6+Assumptions!B7)</f>
        <v>147388770.79685</v>
      </c>
      <c r="H30" s="3">
        <f>G30*(1+Assumptions!B8+Assumptions!B9)</f>
        <v>169497086.41637751</v>
      </c>
      <c r="I30" s="3">
        <f t="shared" si="1"/>
        <v>14124757.201364793</v>
      </c>
      <c r="J30" s="3">
        <f t="shared" si="2"/>
        <v>84748543.208188757</v>
      </c>
      <c r="K30" s="16">
        <f t="shared" si="3"/>
        <v>169497086.41637751</v>
      </c>
    </row>
    <row r="31" spans="1:11" x14ac:dyDescent="0.35">
      <c r="A31" s="8" t="str">
        <f>'Livestock Count'!A31</f>
        <v>Sikkim</v>
      </c>
      <c r="B31" s="1">
        <f>'Livestock Count'!G31</f>
        <v>268996</v>
      </c>
      <c r="C31" s="3">
        <f>B31*Assumptions!B2*Assumptions!B3</f>
        <v>66576.510000000009</v>
      </c>
      <c r="D31" s="3">
        <f>(B31+C31)*Assumptions!B4</f>
        <v>318793.88449999999</v>
      </c>
      <c r="E31" s="3">
        <v>0</v>
      </c>
      <c r="F31" s="3">
        <f t="shared" si="0"/>
        <v>637587.76899999997</v>
      </c>
      <c r="G31" s="3">
        <f>F31*(1+Assumptions!B5+Assumptions!B6+Assumptions!B7)</f>
        <v>701346.54590000003</v>
      </c>
      <c r="H31" s="3">
        <f>G31*(1+Assumptions!B8+Assumptions!B9)</f>
        <v>806548.52778500016</v>
      </c>
      <c r="I31" s="3">
        <f t="shared" si="1"/>
        <v>67212.377315416685</v>
      </c>
      <c r="J31" s="3">
        <f t="shared" si="2"/>
        <v>403274.26389250008</v>
      </c>
      <c r="K31" s="16">
        <f t="shared" si="3"/>
        <v>806548.52778500016</v>
      </c>
    </row>
    <row r="32" spans="1:11" x14ac:dyDescent="0.35">
      <c r="A32" s="8" t="str">
        <f>'Livestock Count'!A32</f>
        <v>Tamil Nadu</v>
      </c>
      <c r="B32" s="1">
        <f>'Livestock Count'!G32</f>
        <v>24493464</v>
      </c>
      <c r="C32" s="3">
        <f>B32*Assumptions!B2*Assumptions!B3</f>
        <v>6062132.3400000008</v>
      </c>
      <c r="D32" s="3">
        <f>(B32+C32)*Assumptions!B4</f>
        <v>29027816.522999998</v>
      </c>
      <c r="E32" s="3">
        <v>0</v>
      </c>
      <c r="F32" s="3">
        <f t="shared" si="0"/>
        <v>58055633.045999996</v>
      </c>
      <c r="G32" s="3">
        <f>F32*(1+Assumptions!B5+Assumptions!B6+Assumptions!B7)</f>
        <v>63861196.350600004</v>
      </c>
      <c r="H32" s="3">
        <f>G32*(1+Assumptions!B8+Assumptions!B9)</f>
        <v>73440375.803190008</v>
      </c>
      <c r="I32" s="3">
        <f t="shared" si="1"/>
        <v>6120031.3169325003</v>
      </c>
      <c r="J32" s="3">
        <f t="shared" si="2"/>
        <v>36720187.901595004</v>
      </c>
      <c r="K32" s="16">
        <f t="shared" si="3"/>
        <v>73440375.803190008</v>
      </c>
    </row>
    <row r="33" spans="1:11" x14ac:dyDescent="0.35">
      <c r="A33" s="8" t="str">
        <f>'Livestock Count'!A33</f>
        <v>Telangana</v>
      </c>
      <c r="B33" s="1">
        <f>'Livestock Count'!G33</f>
        <v>32634568</v>
      </c>
      <c r="C33" s="3">
        <f>B33*Assumptions!B2*Assumptions!B3</f>
        <v>8077055.580000001</v>
      </c>
      <c r="D33" s="3">
        <f>(B33+C33)*Assumptions!B4</f>
        <v>38676042.400999993</v>
      </c>
      <c r="E33" s="3">
        <v>0</v>
      </c>
      <c r="F33" s="3">
        <f t="shared" si="0"/>
        <v>77352084.801999986</v>
      </c>
      <c r="G33" s="3">
        <f>F33*(1+Assumptions!B5+Assumptions!B6+Assumptions!B7)</f>
        <v>85087293.282199994</v>
      </c>
      <c r="H33" s="3">
        <f>G33*(1+Assumptions!B8+Assumptions!B9)</f>
        <v>97850387.274530008</v>
      </c>
      <c r="I33" s="3">
        <f t="shared" si="1"/>
        <v>8154198.9395441674</v>
      </c>
      <c r="J33" s="3">
        <f t="shared" si="2"/>
        <v>48925193.637265004</v>
      </c>
      <c r="K33" s="16">
        <f t="shared" si="3"/>
        <v>97850387.274530008</v>
      </c>
    </row>
    <row r="34" spans="1:11" x14ac:dyDescent="0.35">
      <c r="A34" s="8" t="str">
        <f>'Livestock Count'!A34</f>
        <v>Tripura</v>
      </c>
      <c r="B34" s="1">
        <f>'Livestock Count'!G34</f>
        <v>1317861</v>
      </c>
      <c r="C34" s="3">
        <f>B34*Assumptions!B2*Assumptions!B3</f>
        <v>326170.59750000003</v>
      </c>
      <c r="D34" s="3">
        <f>(B34+C34)*Assumptions!B4</f>
        <v>1561830.0176250001</v>
      </c>
      <c r="E34" s="3">
        <v>0</v>
      </c>
      <c r="F34" s="3">
        <f t="shared" si="0"/>
        <v>3123660.0352500002</v>
      </c>
      <c r="G34" s="3">
        <f>F34*(1+Assumptions!B5+Assumptions!B6+Assumptions!B7)</f>
        <v>3436026.0387750003</v>
      </c>
      <c r="H34" s="3">
        <f>G34*(1+Assumptions!B8+Assumptions!B9)</f>
        <v>3951429.9445912507</v>
      </c>
      <c r="I34" s="3">
        <f t="shared" si="1"/>
        <v>329285.82871593756</v>
      </c>
      <c r="J34" s="3">
        <f t="shared" si="2"/>
        <v>1975714.9722956254</v>
      </c>
      <c r="K34" s="16">
        <f t="shared" si="3"/>
        <v>3951429.9445912507</v>
      </c>
    </row>
    <row r="35" spans="1:11" x14ac:dyDescent="0.35">
      <c r="A35" s="8" t="str">
        <f>'Livestock Count'!A35</f>
        <v>Uttar Pradesh</v>
      </c>
      <c r="B35" s="1">
        <f>'Livestock Count'!G35</f>
        <v>67909854</v>
      </c>
      <c r="C35" s="3">
        <f>B35*Assumptions!B2*Assumptions!B3</f>
        <v>16807688.865000002</v>
      </c>
      <c r="D35" s="3">
        <f>(B35+C35)*Assumptions!B4</f>
        <v>80481665.721750006</v>
      </c>
      <c r="E35" s="3">
        <v>0</v>
      </c>
      <c r="F35" s="3">
        <f t="shared" si="0"/>
        <v>160963331.44350001</v>
      </c>
      <c r="G35" s="3">
        <f>F35*(1+Assumptions!B5+Assumptions!B6+Assumptions!B7)</f>
        <v>177059664.58785003</v>
      </c>
      <c r="H35" s="3">
        <f>G35*(1+Assumptions!B8+Assumptions!B9)</f>
        <v>203618614.27602756</v>
      </c>
      <c r="I35" s="3">
        <f t="shared" si="1"/>
        <v>16968217.856335629</v>
      </c>
      <c r="J35" s="3">
        <f t="shared" si="2"/>
        <v>101809307.13801378</v>
      </c>
      <c r="K35" s="16">
        <f t="shared" si="3"/>
        <v>203618614.27602756</v>
      </c>
    </row>
    <row r="36" spans="1:11" x14ac:dyDescent="0.35">
      <c r="A36" s="8" t="str">
        <f>'Livestock Count'!A36</f>
        <v>Uttarakhand</v>
      </c>
      <c r="B36" s="1">
        <f>'Livestock Count'!G36</f>
        <v>4392686</v>
      </c>
      <c r="C36" s="3">
        <f>B36*Assumptions!B2*Assumptions!B3</f>
        <v>1087189.7850000001</v>
      </c>
      <c r="D36" s="3">
        <f>(B36+C36)*Assumptions!B4</f>
        <v>5205881.9957499998</v>
      </c>
      <c r="E36" s="3">
        <v>0</v>
      </c>
      <c r="F36" s="3">
        <f t="shared" si="0"/>
        <v>10411763.9915</v>
      </c>
      <c r="G36" s="3">
        <f>F36*(1+Assumptions!B5+Assumptions!B6+Assumptions!B7)</f>
        <v>11452940.39065</v>
      </c>
      <c r="H36" s="3">
        <f>G36*(1+Assumptions!B8+Assumptions!B9)</f>
        <v>13170881.449247502</v>
      </c>
      <c r="I36" s="3">
        <f t="shared" si="1"/>
        <v>1097573.4541039586</v>
      </c>
      <c r="J36" s="3">
        <f t="shared" si="2"/>
        <v>6585440.7246237509</v>
      </c>
      <c r="K36" s="16">
        <f t="shared" si="3"/>
        <v>13170881.449247502</v>
      </c>
    </row>
    <row r="37" spans="1:11" x14ac:dyDescent="0.35">
      <c r="A37" s="13" t="str">
        <f>'Livestock Count'!A37</f>
        <v>West Bengal</v>
      </c>
      <c r="B37" s="14">
        <f>'Livestock Count'!G37</f>
        <v>37481419</v>
      </c>
      <c r="C37" s="17">
        <f>B37*Assumptions!B2*Assumptions!B3</f>
        <v>9276651.2025000025</v>
      </c>
      <c r="D37" s="17">
        <f>(B37+C37)*Assumptions!B4</f>
        <v>44420166.692374997</v>
      </c>
      <c r="E37" s="17">
        <v>0</v>
      </c>
      <c r="F37" s="17">
        <f t="shared" si="0"/>
        <v>88840333.384749994</v>
      </c>
      <c r="G37" s="17">
        <f>F37*(1+Assumptions!B5+Assumptions!B6+Assumptions!B7)</f>
        <v>97724366.723224998</v>
      </c>
      <c r="H37" s="17">
        <f>G37*(1+Assumptions!B8+Assumptions!B9)</f>
        <v>112383021.73170877</v>
      </c>
      <c r="I37" s="17">
        <f t="shared" si="1"/>
        <v>9365251.8109757304</v>
      </c>
      <c r="J37" s="17">
        <f t="shared" si="2"/>
        <v>56191510.865854383</v>
      </c>
      <c r="K37" s="18">
        <f t="shared" si="3"/>
        <v>112383021.73170877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sqref="A1:C1"/>
    </sheetView>
  </sheetViews>
  <sheetFormatPr defaultRowHeight="14.5" x14ac:dyDescent="0.35"/>
  <cols>
    <col min="1" max="3" width="24" customWidth="1"/>
  </cols>
  <sheetData>
    <row r="1" spans="1:3" x14ac:dyDescent="0.35">
      <c r="A1" s="2" t="s">
        <v>62</v>
      </c>
      <c r="B1" s="2" t="s">
        <v>83</v>
      </c>
      <c r="C1" s="2" t="s">
        <v>84</v>
      </c>
    </row>
    <row r="2" spans="1:3" x14ac:dyDescent="0.35">
      <c r="A2" s="1" t="s">
        <v>65</v>
      </c>
      <c r="B2" s="1">
        <v>348000000</v>
      </c>
      <c r="C2" s="1" t="s">
        <v>85</v>
      </c>
    </row>
    <row r="3" spans="1:3" x14ac:dyDescent="0.35">
      <c r="A3" s="1" t="s">
        <v>67</v>
      </c>
      <c r="B3" s="1">
        <v>3939000</v>
      </c>
      <c r="C3" s="1" t="s">
        <v>85</v>
      </c>
    </row>
    <row r="4" spans="1:3" x14ac:dyDescent="0.35">
      <c r="A4" s="1" t="s">
        <v>69</v>
      </c>
      <c r="B4" s="1">
        <v>27600000</v>
      </c>
      <c r="C4" s="1" t="s">
        <v>85</v>
      </c>
    </row>
    <row r="5" spans="1:3" x14ac:dyDescent="0.35">
      <c r="A5" s="1" t="s">
        <v>71</v>
      </c>
      <c r="B5" s="1">
        <v>542000</v>
      </c>
      <c r="C5" s="1" t="s">
        <v>85</v>
      </c>
    </row>
    <row r="6" spans="1:3" x14ac:dyDescent="0.35">
      <c r="A6" s="1" t="s">
        <v>72</v>
      </c>
      <c r="B6" s="1"/>
      <c r="C6" s="1" t="s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zoomScale="77" workbookViewId="0">
      <selection activeCell="F5" sqref="F5"/>
    </sheetView>
  </sheetViews>
  <sheetFormatPr defaultRowHeight="14.5" x14ac:dyDescent="0.35"/>
  <cols>
    <col min="1" max="3" width="26" customWidth="1"/>
    <col min="4" max="7" width="13" customWidth="1"/>
    <col min="8" max="8" width="26" customWidth="1"/>
  </cols>
  <sheetData>
    <row r="1" spans="1:8" ht="43.5" x14ac:dyDescent="0.35">
      <c r="A1" s="19" t="s">
        <v>0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  <c r="H1" s="21" t="s">
        <v>93</v>
      </c>
    </row>
    <row r="2" spans="1:8" x14ac:dyDescent="0.35">
      <c r="A2" s="8" t="str">
        <f>'Livestock Count'!A2</f>
        <v>Andaman &amp; Nicobar Islands</v>
      </c>
      <c r="B2" s="1">
        <f>'Livestock Count'!G2</f>
        <v>145392</v>
      </c>
      <c r="C2" s="4">
        <f>B2/SUM(B2:B37)</f>
        <v>2.7149917571564014E-4</v>
      </c>
      <c r="D2" s="1">
        <v>1</v>
      </c>
      <c r="E2" s="1">
        <v>1</v>
      </c>
      <c r="F2" s="1">
        <v>1</v>
      </c>
      <c r="G2" s="5">
        <f t="shared" ref="G2:G37" si="0">C2*D2*E2*F2</f>
        <v>2.7149917571564014E-4</v>
      </c>
      <c r="H2" s="9" t="str">
        <f t="shared" ref="H2:H37" si="1">IF(G2&gt;=PERCENTILE($G$2:$G$37,0.75),"High",IF(G2&gt;=PERCENTILE($G$2:$G$37,0.4),"Medium","Standard"))</f>
        <v>Standard</v>
      </c>
    </row>
    <row r="3" spans="1:8" x14ac:dyDescent="0.35">
      <c r="A3" s="8" t="str">
        <f>'Livestock Count'!A3</f>
        <v>Andhra Pradesh</v>
      </c>
      <c r="B3" s="1">
        <f>'Livestock Count'!G3</f>
        <v>34060648</v>
      </c>
      <c r="C3" s="4">
        <f>B3/SUM(B2:B37)</f>
        <v>6.3603484760788545E-2</v>
      </c>
      <c r="D3" s="1">
        <v>1</v>
      </c>
      <c r="E3" s="1">
        <v>1</v>
      </c>
      <c r="F3" s="1">
        <v>1</v>
      </c>
      <c r="G3" s="5">
        <f t="shared" si="0"/>
        <v>6.3603484760788545E-2</v>
      </c>
      <c r="H3" s="9" t="str">
        <f t="shared" si="1"/>
        <v>High</v>
      </c>
    </row>
    <row r="4" spans="1:8" x14ac:dyDescent="0.35">
      <c r="A4" s="8" t="str">
        <f>'Livestock Count'!A4</f>
        <v>Arunachal Pradesh</v>
      </c>
      <c r="B4" s="1">
        <f>'Livestock Count'!G4</f>
        <v>784148</v>
      </c>
      <c r="C4" s="4">
        <f>B4/SUM(B2:B37)</f>
        <v>1.4642864506923888E-3</v>
      </c>
      <c r="D4" s="1">
        <v>1</v>
      </c>
      <c r="E4" s="1">
        <v>1</v>
      </c>
      <c r="F4" s="1">
        <v>1</v>
      </c>
      <c r="G4" s="5">
        <f t="shared" si="0"/>
        <v>1.4642864506923888E-3</v>
      </c>
      <c r="H4" s="9" t="str">
        <f t="shared" si="1"/>
        <v>Standard</v>
      </c>
    </row>
    <row r="5" spans="1:8" x14ac:dyDescent="0.35">
      <c r="A5" s="8" t="str">
        <f>'Livestock Count'!A5</f>
        <v>Assam</v>
      </c>
      <c r="B5" s="1">
        <f>'Livestock Count'!G5</f>
        <v>18077227</v>
      </c>
      <c r="C5" s="4">
        <f>B5/SUM(B2:B37)</f>
        <v>3.3756686954746581E-2</v>
      </c>
      <c r="D5" s="1">
        <v>1</v>
      </c>
      <c r="E5" s="1">
        <v>1</v>
      </c>
      <c r="F5" s="1">
        <v>1</v>
      </c>
      <c r="G5" s="5">
        <f t="shared" si="0"/>
        <v>3.3756686954746581E-2</v>
      </c>
      <c r="H5" s="9" t="str">
        <f t="shared" si="1"/>
        <v>Medium</v>
      </c>
    </row>
    <row r="6" spans="1:8" x14ac:dyDescent="0.35">
      <c r="A6" s="8" t="str">
        <f>'Livestock Count'!A6</f>
        <v>Bihar</v>
      </c>
      <c r="B6" s="1">
        <f>'Livestock Count'!G6</f>
        <v>36495801</v>
      </c>
      <c r="C6" s="4">
        <f>B6/SUM(B2:B37)</f>
        <v>6.8150791574378478E-2</v>
      </c>
      <c r="D6" s="1">
        <v>1</v>
      </c>
      <c r="E6" s="1">
        <v>1</v>
      </c>
      <c r="F6" s="1">
        <v>1</v>
      </c>
      <c r="G6" s="5">
        <f t="shared" si="0"/>
        <v>6.8150791574378478E-2</v>
      </c>
      <c r="H6" s="9" t="str">
        <f t="shared" si="1"/>
        <v>High</v>
      </c>
    </row>
    <row r="7" spans="1:8" x14ac:dyDescent="0.35">
      <c r="A7" s="8" t="str">
        <f>'Livestock Count'!A7</f>
        <v>Chandigarh</v>
      </c>
      <c r="B7" s="1">
        <f>'Livestock Count'!G7</f>
        <v>26753</v>
      </c>
      <c r="C7" s="4">
        <f>B7/SUM(B2:B37)</f>
        <v>4.9957476669421433E-5</v>
      </c>
      <c r="D7" s="1">
        <v>1</v>
      </c>
      <c r="E7" s="1">
        <v>1</v>
      </c>
      <c r="F7" s="1">
        <v>1</v>
      </c>
      <c r="G7" s="5">
        <f t="shared" si="0"/>
        <v>4.9957476669421433E-5</v>
      </c>
      <c r="H7" s="9" t="str">
        <f t="shared" si="1"/>
        <v>Standard</v>
      </c>
    </row>
    <row r="8" spans="1:8" x14ac:dyDescent="0.35">
      <c r="A8" s="8" t="str">
        <f>'Livestock Count'!A8</f>
        <v>Chhattisgarh</v>
      </c>
      <c r="B8" s="1">
        <f>'Livestock Count'!G8</f>
        <v>15871463</v>
      </c>
      <c r="C8" s="4">
        <f>B8/SUM(B2:B37)</f>
        <v>2.9637731937804564E-2</v>
      </c>
      <c r="D8" s="1">
        <v>1</v>
      </c>
      <c r="E8" s="1">
        <v>1</v>
      </c>
      <c r="F8" s="1">
        <v>1</v>
      </c>
      <c r="G8" s="5">
        <f t="shared" si="0"/>
        <v>2.9637731937804564E-2</v>
      </c>
      <c r="H8" s="9" t="str">
        <f t="shared" si="1"/>
        <v>Medium</v>
      </c>
    </row>
    <row r="9" spans="1:8" x14ac:dyDescent="0.35">
      <c r="A9" s="8" t="str">
        <f>'Livestock Count'!A9</f>
        <v>Dadra &amp; Nagar Haveli</v>
      </c>
      <c r="B9" s="1">
        <f>'Livestock Count'!G9</f>
        <v>48365</v>
      </c>
      <c r="C9" s="4">
        <f>B9/SUM(B2:B37)</f>
        <v>9.0314856618568671E-5</v>
      </c>
      <c r="D9" s="1">
        <v>1</v>
      </c>
      <c r="E9" s="1">
        <v>1</v>
      </c>
      <c r="F9" s="1">
        <v>1</v>
      </c>
      <c r="G9" s="5">
        <f t="shared" si="0"/>
        <v>9.0314856618568671E-5</v>
      </c>
      <c r="H9" s="9" t="str">
        <f t="shared" si="1"/>
        <v>Standard</v>
      </c>
    </row>
    <row r="10" spans="1:8" x14ac:dyDescent="0.35">
      <c r="A10" s="8" t="str">
        <f>'Livestock Count'!A10</f>
        <v>Daman &amp; Diu</v>
      </c>
      <c r="B10" s="1">
        <f>'Livestock Count'!G10</f>
        <v>3269</v>
      </c>
      <c r="C10" s="4">
        <f>B10/SUM(B2:B37)</f>
        <v>6.1043991788711045E-6</v>
      </c>
      <c r="D10" s="1">
        <v>1</v>
      </c>
      <c r="E10" s="1">
        <v>1</v>
      </c>
      <c r="F10" s="1">
        <v>1</v>
      </c>
      <c r="G10" s="5">
        <f t="shared" si="0"/>
        <v>6.1043991788711045E-6</v>
      </c>
      <c r="H10" s="9" t="str">
        <f t="shared" si="1"/>
        <v>Standard</v>
      </c>
    </row>
    <row r="11" spans="1:8" x14ac:dyDescent="0.35">
      <c r="A11" s="8" t="str">
        <f>'Livestock Count'!A11</f>
        <v>Delhi</v>
      </c>
      <c r="B11" s="1">
        <f>'Livestock Count'!G11</f>
        <v>356323</v>
      </c>
      <c r="C11" s="4">
        <f>B11/SUM(B2:B37)</f>
        <v>6.6538324521654593E-4</v>
      </c>
      <c r="D11" s="1">
        <v>1</v>
      </c>
      <c r="E11" s="1">
        <v>1</v>
      </c>
      <c r="F11" s="1">
        <v>1</v>
      </c>
      <c r="G11" s="5">
        <f t="shared" si="0"/>
        <v>6.6538324521654593E-4</v>
      </c>
      <c r="H11" s="9" t="str">
        <f t="shared" si="1"/>
        <v>Standard</v>
      </c>
    </row>
    <row r="12" spans="1:8" x14ac:dyDescent="0.35">
      <c r="A12" s="8" t="str">
        <f>'Livestock Count'!A12</f>
        <v>Goa</v>
      </c>
      <c r="B12" s="1">
        <f>'Livestock Count'!G12</f>
        <v>132388</v>
      </c>
      <c r="C12" s="4">
        <f>B12/SUM(B2:B37)</f>
        <v>2.4721602890559431E-4</v>
      </c>
      <c r="D12" s="1">
        <v>1</v>
      </c>
      <c r="E12" s="1">
        <v>1</v>
      </c>
      <c r="F12" s="1">
        <v>1</v>
      </c>
      <c r="G12" s="5">
        <f t="shared" si="0"/>
        <v>2.4721602890559431E-4</v>
      </c>
      <c r="H12" s="9" t="str">
        <f t="shared" si="1"/>
        <v>Standard</v>
      </c>
    </row>
    <row r="13" spans="1:8" x14ac:dyDescent="0.35">
      <c r="A13" s="8" t="str">
        <f>'Livestock Count'!A13</f>
        <v>Gujarat</v>
      </c>
      <c r="B13" s="1">
        <f>'Livestock Count'!G13</f>
        <v>26832552</v>
      </c>
      <c r="C13" s="4">
        <f>B13/SUM(B2:B37)</f>
        <v>5.0106028876052686E-2</v>
      </c>
      <c r="D13" s="1">
        <v>1</v>
      </c>
      <c r="E13" s="1">
        <v>1</v>
      </c>
      <c r="F13" s="1">
        <v>1</v>
      </c>
      <c r="G13" s="5">
        <f t="shared" si="0"/>
        <v>5.0106028876052686E-2</v>
      </c>
      <c r="H13" s="9" t="str">
        <f t="shared" si="1"/>
        <v>Medium</v>
      </c>
    </row>
    <row r="14" spans="1:8" x14ac:dyDescent="0.35">
      <c r="A14" s="8" t="str">
        <f>'Livestock Count'!A14</f>
        <v>Haryana</v>
      </c>
      <c r="B14" s="1">
        <f>'Livestock Count'!G14</f>
        <v>7027955</v>
      </c>
      <c r="C14" s="4">
        <f>B14/SUM(B2:B37)</f>
        <v>1.312372062745276E-2</v>
      </c>
      <c r="D14" s="1">
        <v>1</v>
      </c>
      <c r="E14" s="1">
        <v>1</v>
      </c>
      <c r="F14" s="1">
        <v>1</v>
      </c>
      <c r="G14" s="5">
        <f t="shared" si="0"/>
        <v>1.312372062745276E-2</v>
      </c>
      <c r="H14" s="9" t="str">
        <f t="shared" si="1"/>
        <v>Medium</v>
      </c>
    </row>
    <row r="15" spans="1:8" x14ac:dyDescent="0.35">
      <c r="A15" s="8" t="str">
        <f>'Livestock Count'!A15</f>
        <v>Himachal Pradesh</v>
      </c>
      <c r="B15" s="1">
        <f>'Livestock Count'!G15</f>
        <v>4376817</v>
      </c>
      <c r="C15" s="4">
        <f>B15/SUM(B2:B37)</f>
        <v>8.1730921079440477E-3</v>
      </c>
      <c r="D15" s="1">
        <v>1</v>
      </c>
      <c r="E15" s="1">
        <v>1</v>
      </c>
      <c r="F15" s="1">
        <v>1</v>
      </c>
      <c r="G15" s="5">
        <f t="shared" si="0"/>
        <v>8.1730921079440477E-3</v>
      </c>
      <c r="H15" s="9" t="str">
        <f t="shared" si="1"/>
        <v>Medium</v>
      </c>
    </row>
    <row r="16" spans="1:8" x14ac:dyDescent="0.35">
      <c r="A16" s="8" t="str">
        <f>'Livestock Count'!A16</f>
        <v>Jammu &amp; Kashmir</v>
      </c>
      <c r="B16" s="1">
        <f>'Livestock Count'!G16</f>
        <v>8209005</v>
      </c>
      <c r="C16" s="4">
        <f>B16/SUM(B2:B37)</f>
        <v>1.532916591659492E-2</v>
      </c>
      <c r="D16" s="1">
        <v>1</v>
      </c>
      <c r="E16" s="1">
        <v>1</v>
      </c>
      <c r="F16" s="1">
        <v>1</v>
      </c>
      <c r="G16" s="5">
        <f t="shared" si="0"/>
        <v>1.532916591659492E-2</v>
      </c>
      <c r="H16" s="9" t="str">
        <f t="shared" si="1"/>
        <v>Medium</v>
      </c>
    </row>
    <row r="17" spans="1:8" x14ac:dyDescent="0.35">
      <c r="A17" s="8" t="str">
        <f>'Livestock Count'!A17</f>
        <v>Jharkhand</v>
      </c>
      <c r="B17" s="1">
        <f>'Livestock Count'!G17</f>
        <v>23612694</v>
      </c>
      <c r="C17" s="4">
        <f>B17/SUM(B2:B37)</f>
        <v>4.4093395492363005E-2</v>
      </c>
      <c r="D17" s="1">
        <v>1</v>
      </c>
      <c r="E17" s="1">
        <v>1</v>
      </c>
      <c r="F17" s="1">
        <v>1</v>
      </c>
      <c r="G17" s="5">
        <f t="shared" si="0"/>
        <v>4.4093395492363005E-2</v>
      </c>
      <c r="H17" s="9" t="str">
        <f t="shared" si="1"/>
        <v>Medium</v>
      </c>
    </row>
    <row r="18" spans="1:8" x14ac:dyDescent="0.35">
      <c r="A18" s="8" t="str">
        <f>'Livestock Count'!A18</f>
        <v>Karnataka</v>
      </c>
      <c r="B18" s="1">
        <f>'Livestock Count'!G18</f>
        <v>28997520</v>
      </c>
      <c r="C18" s="4">
        <f>B18/SUM(B2:B37)</f>
        <v>5.4148803082685361E-2</v>
      </c>
      <c r="D18" s="1">
        <v>1</v>
      </c>
      <c r="E18" s="1">
        <v>1</v>
      </c>
      <c r="F18" s="1">
        <v>1</v>
      </c>
      <c r="G18" s="5">
        <f t="shared" si="0"/>
        <v>5.4148803082685361E-2</v>
      </c>
      <c r="H18" s="9" t="str">
        <f t="shared" si="1"/>
        <v>High</v>
      </c>
    </row>
    <row r="19" spans="1:8" x14ac:dyDescent="0.35">
      <c r="A19" s="8" t="str">
        <f>'Livestock Count'!A19</f>
        <v>Kerala</v>
      </c>
      <c r="B19" s="1">
        <f>'Livestock Count'!G19</f>
        <v>2908006</v>
      </c>
      <c r="C19" s="4">
        <f>B19/SUM(B2:B37)</f>
        <v>5.4302934960392306E-3</v>
      </c>
      <c r="D19" s="1">
        <v>1</v>
      </c>
      <c r="E19" s="1">
        <v>1</v>
      </c>
      <c r="F19" s="1">
        <v>1</v>
      </c>
      <c r="G19" s="5">
        <f t="shared" si="0"/>
        <v>5.4302934960392306E-3</v>
      </c>
      <c r="H19" s="9" t="str">
        <f t="shared" si="1"/>
        <v>Medium</v>
      </c>
    </row>
    <row r="20" spans="1:8" x14ac:dyDescent="0.35">
      <c r="A20" s="8" t="str">
        <f>'Livestock Count'!A20</f>
        <v>Lakshadweep</v>
      </c>
      <c r="B20" s="1">
        <f>'Livestock Count'!G20</f>
        <v>45697</v>
      </c>
      <c r="C20" s="4">
        <f>B20/SUM(B2:B37)</f>
        <v>8.5332740678150163E-5</v>
      </c>
      <c r="D20" s="1">
        <v>1</v>
      </c>
      <c r="E20" s="1">
        <v>1</v>
      </c>
      <c r="F20" s="1">
        <v>1</v>
      </c>
      <c r="G20" s="5">
        <f t="shared" si="0"/>
        <v>8.5332740678150163E-5</v>
      </c>
      <c r="H20" s="9" t="str">
        <f t="shared" si="1"/>
        <v>Standard</v>
      </c>
    </row>
    <row r="21" spans="1:8" x14ac:dyDescent="0.35">
      <c r="A21" s="8" t="str">
        <f>'Livestock Count'!A21</f>
        <v>Madhya Pradesh</v>
      </c>
      <c r="B21" s="1">
        <f>'Livestock Count'!G21</f>
        <v>40611684</v>
      </c>
      <c r="C21" s="4">
        <f>B21/SUM(B2:B37)</f>
        <v>7.5836626020854322E-2</v>
      </c>
      <c r="D21" s="1">
        <v>1</v>
      </c>
      <c r="E21" s="1">
        <v>1</v>
      </c>
      <c r="F21" s="1">
        <v>1</v>
      </c>
      <c r="G21" s="5">
        <f t="shared" si="0"/>
        <v>7.5836626020854322E-2</v>
      </c>
      <c r="H21" s="9" t="str">
        <f t="shared" si="1"/>
        <v>High</v>
      </c>
    </row>
    <row r="22" spans="1:8" x14ac:dyDescent="0.35">
      <c r="A22" s="8" t="str">
        <f>'Livestock Count'!A22</f>
        <v>Maharashtra</v>
      </c>
      <c r="B22" s="1">
        <f>'Livestock Count'!G22</f>
        <v>33042208</v>
      </c>
      <c r="C22" s="4">
        <f>B22/SUM(B2:B37)</f>
        <v>6.1701690848359816E-2</v>
      </c>
      <c r="D22" s="1">
        <v>1</v>
      </c>
      <c r="E22" s="1">
        <v>1</v>
      </c>
      <c r="F22" s="1">
        <v>1</v>
      </c>
      <c r="G22" s="5">
        <f t="shared" si="0"/>
        <v>6.1701690848359816E-2</v>
      </c>
      <c r="H22" s="9" t="str">
        <f t="shared" si="1"/>
        <v>High</v>
      </c>
    </row>
    <row r="23" spans="1:8" x14ac:dyDescent="0.35">
      <c r="A23" s="8" t="str">
        <f>'Livestock Count'!A23</f>
        <v>Manipur</v>
      </c>
      <c r="B23" s="1">
        <f>'Livestock Count'!G23</f>
        <v>540575</v>
      </c>
      <c r="C23" s="4">
        <f>B23/SUM(B2:B37)</f>
        <v>1.0094480226730644E-3</v>
      </c>
      <c r="D23" s="1">
        <v>1</v>
      </c>
      <c r="E23" s="1">
        <v>1</v>
      </c>
      <c r="F23" s="1">
        <v>1</v>
      </c>
      <c r="G23" s="5">
        <f t="shared" si="0"/>
        <v>1.0094480226730644E-3</v>
      </c>
      <c r="H23" s="9" t="str">
        <f t="shared" si="1"/>
        <v>Standard</v>
      </c>
    </row>
    <row r="24" spans="1:8" x14ac:dyDescent="0.35">
      <c r="A24" s="8" t="str">
        <f>'Livestock Count'!A24</f>
        <v>Meghalaya</v>
      </c>
      <c r="B24" s="1">
        <f>'Livestock Count'!G24</f>
        <v>2038830</v>
      </c>
      <c r="C24" s="4">
        <f>B24/SUM(B2:B37)</f>
        <v>3.8072291764630695E-3</v>
      </c>
      <c r="D24" s="1">
        <v>1</v>
      </c>
      <c r="E24" s="1">
        <v>1</v>
      </c>
      <c r="F24" s="1">
        <v>1</v>
      </c>
      <c r="G24" s="5">
        <f t="shared" si="0"/>
        <v>3.8072291764630695E-3</v>
      </c>
      <c r="H24" s="9" t="str">
        <f t="shared" si="1"/>
        <v>Medium</v>
      </c>
    </row>
    <row r="25" spans="1:8" x14ac:dyDescent="0.35">
      <c r="A25" s="8" t="str">
        <f>'Livestock Count'!A25</f>
        <v>Mizoram</v>
      </c>
      <c r="B25" s="1">
        <f>'Livestock Count'!G25</f>
        <v>355580</v>
      </c>
      <c r="C25" s="4">
        <f>B25/SUM(B2:B37)</f>
        <v>6.6399579688681165E-4</v>
      </c>
      <c r="D25" s="1">
        <v>1</v>
      </c>
      <c r="E25" s="1">
        <v>1</v>
      </c>
      <c r="F25" s="1">
        <v>1</v>
      </c>
      <c r="G25" s="5">
        <f t="shared" si="0"/>
        <v>6.6399579688681165E-4</v>
      </c>
      <c r="H25" s="9" t="str">
        <f t="shared" si="1"/>
        <v>Standard</v>
      </c>
    </row>
    <row r="26" spans="1:8" x14ac:dyDescent="0.35">
      <c r="A26" s="8" t="str">
        <f>'Livestock Count'!A26</f>
        <v>Nagaland</v>
      </c>
      <c r="B26" s="1">
        <f>'Livestock Count'!G26</f>
        <v>530608</v>
      </c>
      <c r="C26" s="4">
        <f>B26/SUM(B2:B37)</f>
        <v>9.9083604756880972E-4</v>
      </c>
      <c r="D26" s="1">
        <v>1</v>
      </c>
      <c r="E26" s="1">
        <v>1</v>
      </c>
      <c r="F26" s="1">
        <v>1</v>
      </c>
      <c r="G26" s="5">
        <f t="shared" si="0"/>
        <v>9.9083604756880972E-4</v>
      </c>
      <c r="H26" s="9" t="str">
        <f t="shared" si="1"/>
        <v>Standard</v>
      </c>
    </row>
    <row r="27" spans="1:8" x14ac:dyDescent="0.35">
      <c r="A27" s="8" t="str">
        <f>'Livestock Count'!A27</f>
        <v>Odisha</v>
      </c>
      <c r="B27" s="1">
        <f>'Livestock Count'!G27</f>
        <v>18170057</v>
      </c>
      <c r="C27" s="4">
        <f>B27/SUM(B2:B37)</f>
        <v>3.3930033964772462E-2</v>
      </c>
      <c r="D27" s="1">
        <v>1</v>
      </c>
      <c r="E27" s="1">
        <v>1</v>
      </c>
      <c r="F27" s="1">
        <v>1</v>
      </c>
      <c r="G27" s="5">
        <f t="shared" si="0"/>
        <v>3.3930033964772462E-2</v>
      </c>
      <c r="H27" s="9" t="str">
        <f t="shared" si="1"/>
        <v>Medium</v>
      </c>
    </row>
    <row r="28" spans="1:8" x14ac:dyDescent="0.35">
      <c r="A28" s="8" t="str">
        <f>'Livestock Count'!A28</f>
        <v>Puducherry</v>
      </c>
      <c r="B28" s="1">
        <f>'Livestock Count'!G28</f>
        <v>151334</v>
      </c>
      <c r="C28" s="4">
        <f>B28/SUM(B2:B37)</f>
        <v>2.8259502763391855E-4</v>
      </c>
      <c r="D28" s="1">
        <v>1</v>
      </c>
      <c r="E28" s="1">
        <v>1</v>
      </c>
      <c r="F28" s="1">
        <v>1</v>
      </c>
      <c r="G28" s="5">
        <f t="shared" si="0"/>
        <v>2.8259502763391855E-4</v>
      </c>
      <c r="H28" s="9" t="str">
        <f t="shared" si="1"/>
        <v>Standard</v>
      </c>
    </row>
    <row r="29" spans="1:8" x14ac:dyDescent="0.35">
      <c r="A29" s="8" t="str">
        <f>'Livestock Count'!A29</f>
        <v>Punjab</v>
      </c>
      <c r="B29" s="1">
        <f>'Livestock Count'!G29</f>
        <v>7033877</v>
      </c>
      <c r="C29" s="4">
        <f>B29/SUM(B2:B37)</f>
        <v>1.3134779132175084E-2</v>
      </c>
      <c r="D29" s="1">
        <v>1</v>
      </c>
      <c r="E29" s="1">
        <v>1</v>
      </c>
      <c r="F29" s="1">
        <v>1</v>
      </c>
      <c r="G29" s="5">
        <f t="shared" si="0"/>
        <v>1.3134779132175084E-2</v>
      </c>
      <c r="H29" s="9" t="str">
        <f t="shared" si="1"/>
        <v>Medium</v>
      </c>
    </row>
    <row r="30" spans="1:8" x14ac:dyDescent="0.35">
      <c r="A30" s="8" t="str">
        <f>'Livestock Count'!A30</f>
        <v>Rajasthan</v>
      </c>
      <c r="B30" s="1">
        <f>'Livestock Count'!G30</f>
        <v>56529814</v>
      </c>
      <c r="C30" s="4">
        <f>B30/SUM(B2:B37)</f>
        <v>0.10556150203834086</v>
      </c>
      <c r="D30" s="1">
        <v>1</v>
      </c>
      <c r="E30" s="1">
        <v>1</v>
      </c>
      <c r="F30" s="1">
        <v>1</v>
      </c>
      <c r="G30" s="5">
        <f t="shared" si="0"/>
        <v>0.10556150203834086</v>
      </c>
      <c r="H30" s="9" t="str">
        <f t="shared" si="1"/>
        <v>High</v>
      </c>
    </row>
    <row r="31" spans="1:8" x14ac:dyDescent="0.35">
      <c r="A31" s="8" t="str">
        <f>'Livestock Count'!A31</f>
        <v>Sikkim</v>
      </c>
      <c r="B31" s="1">
        <f>'Livestock Count'!G31</f>
        <v>268996</v>
      </c>
      <c r="C31" s="4">
        <f>B31/SUM(B2:B37)</f>
        <v>5.0231231615772769E-4</v>
      </c>
      <c r="D31" s="1">
        <v>1</v>
      </c>
      <c r="E31" s="1">
        <v>1</v>
      </c>
      <c r="F31" s="1">
        <v>1</v>
      </c>
      <c r="G31" s="5">
        <f t="shared" si="0"/>
        <v>5.0231231615772769E-4</v>
      </c>
      <c r="H31" s="9" t="str">
        <f t="shared" si="1"/>
        <v>Standard</v>
      </c>
    </row>
    <row r="32" spans="1:8" x14ac:dyDescent="0.35">
      <c r="A32" s="8" t="str">
        <f>'Livestock Count'!A32</f>
        <v>Tamil Nadu</v>
      </c>
      <c r="B32" s="1">
        <f>'Livestock Count'!G32</f>
        <v>24493464</v>
      </c>
      <c r="C32" s="4">
        <f>B32/SUM(B2:B37)</f>
        <v>4.573810998143437E-2</v>
      </c>
      <c r="D32" s="1">
        <v>1</v>
      </c>
      <c r="E32" s="1">
        <v>1</v>
      </c>
      <c r="F32" s="1">
        <v>1</v>
      </c>
      <c r="G32" s="5">
        <f t="shared" si="0"/>
        <v>4.573810998143437E-2</v>
      </c>
      <c r="H32" s="9" t="str">
        <f t="shared" si="1"/>
        <v>Medium</v>
      </c>
    </row>
    <row r="33" spans="1:8" x14ac:dyDescent="0.35">
      <c r="A33" s="8" t="str">
        <f>'Livestock Count'!A33</f>
        <v>Telangana</v>
      </c>
      <c r="B33" s="1">
        <f>'Livestock Count'!G33</f>
        <v>32634568</v>
      </c>
      <c r="C33" s="4">
        <f>B33/SUM(B2:B37)</f>
        <v>6.0940480300401723E-2</v>
      </c>
      <c r="D33" s="1">
        <v>1</v>
      </c>
      <c r="E33" s="1">
        <v>1</v>
      </c>
      <c r="F33" s="1">
        <v>1</v>
      </c>
      <c r="G33" s="5">
        <f t="shared" si="0"/>
        <v>6.0940480300401723E-2</v>
      </c>
      <c r="H33" s="9" t="str">
        <f t="shared" si="1"/>
        <v>High</v>
      </c>
    </row>
    <row r="34" spans="1:8" x14ac:dyDescent="0.35">
      <c r="A34" s="8" t="str">
        <f>'Livestock Count'!A34</f>
        <v>Tripura</v>
      </c>
      <c r="B34" s="1">
        <f>'Livestock Count'!G34</f>
        <v>1317861</v>
      </c>
      <c r="C34" s="4">
        <f>B34/SUM(B2:B37)</f>
        <v>2.4609206504332373E-3</v>
      </c>
      <c r="D34" s="1">
        <v>1</v>
      </c>
      <c r="E34" s="1">
        <v>1</v>
      </c>
      <c r="F34" s="1">
        <v>1</v>
      </c>
      <c r="G34" s="5">
        <f t="shared" si="0"/>
        <v>2.4609206504332373E-3</v>
      </c>
      <c r="H34" s="9" t="str">
        <f t="shared" si="1"/>
        <v>Standard</v>
      </c>
    </row>
    <row r="35" spans="1:8" x14ac:dyDescent="0.35">
      <c r="A35" s="8" t="str">
        <f>'Livestock Count'!A35</f>
        <v>Uttar Pradesh</v>
      </c>
      <c r="B35" s="1">
        <f>'Livestock Count'!G35</f>
        <v>67909854</v>
      </c>
      <c r="C35" s="4">
        <f>B35/SUM(B2:B37)</f>
        <v>0.12681213123121951</v>
      </c>
      <c r="D35" s="1">
        <v>1</v>
      </c>
      <c r="E35" s="1">
        <v>1</v>
      </c>
      <c r="F35" s="1">
        <v>1</v>
      </c>
      <c r="G35" s="5">
        <f t="shared" si="0"/>
        <v>0.12681213123121951</v>
      </c>
      <c r="H35" s="9" t="str">
        <f t="shared" si="1"/>
        <v>High</v>
      </c>
    </row>
    <row r="36" spans="1:8" x14ac:dyDescent="0.35">
      <c r="A36" s="8" t="str">
        <f>'Livestock Count'!A36</f>
        <v>Uttarakhand</v>
      </c>
      <c r="B36" s="1">
        <f>'Livestock Count'!G36</f>
        <v>4392686</v>
      </c>
      <c r="C36" s="4">
        <f>B36/SUM(B2:B37)</f>
        <v>8.2027252405746705E-3</v>
      </c>
      <c r="D36" s="1">
        <v>1</v>
      </c>
      <c r="E36" s="1">
        <v>1</v>
      </c>
      <c r="F36" s="1">
        <v>1</v>
      </c>
      <c r="G36" s="5">
        <f t="shared" si="0"/>
        <v>8.2027252405746705E-3</v>
      </c>
      <c r="H36" s="9" t="str">
        <f t="shared" si="1"/>
        <v>Medium</v>
      </c>
    </row>
    <row r="37" spans="1:8" x14ac:dyDescent="0.35">
      <c r="A37" s="13" t="str">
        <f>'Livestock Count'!A37</f>
        <v>West Bengal</v>
      </c>
      <c r="B37" s="14">
        <f>'Livestock Count'!G37</f>
        <v>37481419</v>
      </c>
      <c r="C37" s="22">
        <f>B37/SUM(B2:B37)</f>
        <v>6.9991295003525189E-2</v>
      </c>
      <c r="D37" s="14">
        <v>1</v>
      </c>
      <c r="E37" s="14">
        <v>1</v>
      </c>
      <c r="F37" s="14">
        <v>1</v>
      </c>
      <c r="G37" s="23">
        <f t="shared" si="0"/>
        <v>6.9991295003525189E-2</v>
      </c>
      <c r="H37" s="15" t="str">
        <f t="shared" si="1"/>
        <v>High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3" sqref="B3"/>
    </sheetView>
  </sheetViews>
  <sheetFormatPr defaultRowHeight="14.5" x14ac:dyDescent="0.35"/>
  <cols>
    <col min="1" max="1" width="61.08984375" bestFit="1" customWidth="1"/>
    <col min="2" max="2" width="24" customWidth="1"/>
  </cols>
  <sheetData>
    <row r="1" spans="1:2" x14ac:dyDescent="0.35">
      <c r="A1" t="s">
        <v>94</v>
      </c>
    </row>
    <row r="3" spans="1:2" x14ac:dyDescent="0.35">
      <c r="A3" t="s">
        <v>95</v>
      </c>
      <c r="B3">
        <f>SUM('Demand Estimation'!J:J)</f>
        <v>802835707.82658386</v>
      </c>
    </row>
    <row r="5" spans="1:2" x14ac:dyDescent="0.35">
      <c r="A5" t="s">
        <v>96</v>
      </c>
      <c r="B5">
        <f>SUM('Demand Estimation'!H:H)</f>
        <v>1605671415.6531677</v>
      </c>
    </row>
    <row r="7" spans="1:2" x14ac:dyDescent="0.35">
      <c r="A7" t="s">
        <v>97</v>
      </c>
      <c r="B7">
        <f>SUM('Demand Estimation'!I:I)</f>
        <v>133805951.30443063</v>
      </c>
    </row>
    <row r="9" spans="1:2" x14ac:dyDescent="0.35">
      <c r="A9" t="s">
        <v>98</v>
      </c>
    </row>
    <row r="10" spans="1:2" x14ac:dyDescent="0.35">
      <c r="A10" t="s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zoomScale="90" zoomScaleNormal="90" workbookViewId="0">
      <pane ySplit="1" topLeftCell="A2" activePane="bottomLeft" state="frozen"/>
      <selection pane="bottomLeft" activeCell="J1" sqref="J1:J1048576"/>
    </sheetView>
  </sheetViews>
  <sheetFormatPr defaultRowHeight="14.5" x14ac:dyDescent="0.35"/>
  <cols>
    <col min="1" max="1" width="22" customWidth="1"/>
    <col min="2" max="11" width="14.81640625" customWidth="1"/>
  </cols>
  <sheetData>
    <row r="1" spans="1:11" ht="29" x14ac:dyDescent="0.35">
      <c r="A1" s="24" t="s">
        <v>0</v>
      </c>
      <c r="B1" s="25" t="s">
        <v>100</v>
      </c>
      <c r="C1" s="25" t="s">
        <v>74</v>
      </c>
      <c r="D1" s="25" t="s">
        <v>75</v>
      </c>
      <c r="E1" s="25" t="s">
        <v>101</v>
      </c>
      <c r="F1" s="25" t="s">
        <v>77</v>
      </c>
      <c r="G1" s="25" t="s">
        <v>78</v>
      </c>
      <c r="H1" s="25" t="s">
        <v>79</v>
      </c>
      <c r="I1" s="25" t="s">
        <v>80</v>
      </c>
      <c r="J1" s="25" t="s">
        <v>81</v>
      </c>
      <c r="K1" s="26" t="s">
        <v>82</v>
      </c>
    </row>
    <row r="2" spans="1:11" x14ac:dyDescent="0.35">
      <c r="A2" s="8" t="s">
        <v>7</v>
      </c>
      <c r="B2" s="1">
        <f>SUM('Livestock Count'!B2:F2)</f>
        <v>145392</v>
      </c>
      <c r="C2" s="3">
        <f>B2*Assumptions!B2*Assumptions!B3</f>
        <v>35984.520000000004</v>
      </c>
      <c r="D2" s="3">
        <f>(B2+C2)*Assumptions!B4</f>
        <v>172307.69400000002</v>
      </c>
      <c r="E2" s="3">
        <v>0</v>
      </c>
      <c r="F2" s="3">
        <f t="shared" ref="F2:F37" si="0">(D2-E2)*2</f>
        <v>344615.38800000004</v>
      </c>
      <c r="G2" s="3">
        <f>F2*(1+Assumptions!B5+Assumptions!B6+Assumptions!B7)</f>
        <v>379076.92680000007</v>
      </c>
      <c r="H2" s="3">
        <f>G2*(1+Assumptions!B8+Assumptions!B9)</f>
        <v>435938.46582000016</v>
      </c>
      <c r="I2" s="3">
        <f t="shared" ref="I2:I37" si="1">H2/12</f>
        <v>36328.205485000013</v>
      </c>
      <c r="J2" s="3">
        <f t="shared" ref="J2:J37" si="2">H2/2</f>
        <v>217969.23291000008</v>
      </c>
      <c r="K2" s="16">
        <f t="shared" ref="K2:K37" si="3">H2</f>
        <v>435938.46582000016</v>
      </c>
    </row>
    <row r="3" spans="1:11" x14ac:dyDescent="0.35">
      <c r="A3" s="8" t="s">
        <v>8</v>
      </c>
      <c r="B3" s="1">
        <f>SUM('Livestock Count'!B3:F3)</f>
        <v>34060648</v>
      </c>
      <c r="C3" s="3">
        <f>B3*Assumptions!B2*Assumptions!B3</f>
        <v>8430010.3800000008</v>
      </c>
      <c r="D3" s="3">
        <f>(B3+C3)*Assumptions!B4</f>
        <v>40366125.461000003</v>
      </c>
      <c r="E3" s="3">
        <v>0</v>
      </c>
      <c r="F3" s="3">
        <f t="shared" si="0"/>
        <v>80732250.922000006</v>
      </c>
      <c r="G3" s="3">
        <f>F3*(1+Assumptions!B5+Assumptions!B6+Assumptions!B7)</f>
        <v>88805476.014200017</v>
      </c>
      <c r="H3" s="3">
        <f>G3*(1+Assumptions!B8+Assumptions!B9)</f>
        <v>102126297.41633002</v>
      </c>
      <c r="I3" s="3">
        <f t="shared" si="1"/>
        <v>8510524.7846941687</v>
      </c>
      <c r="J3" s="3">
        <f t="shared" si="2"/>
        <v>51063148.708165012</v>
      </c>
      <c r="K3" s="16">
        <f t="shared" si="3"/>
        <v>102126297.41633002</v>
      </c>
    </row>
    <row r="4" spans="1:11" x14ac:dyDescent="0.35">
      <c r="A4" s="8" t="s">
        <v>9</v>
      </c>
      <c r="B4" s="1">
        <f>SUM('Livestock Count'!B4:F4)</f>
        <v>784148</v>
      </c>
      <c r="C4" s="3">
        <f>B4*Assumptions!B2*Assumptions!B3</f>
        <v>194076.63</v>
      </c>
      <c r="D4" s="3">
        <f>(B4+C4)*Assumptions!B4</f>
        <v>929313.39850000001</v>
      </c>
      <c r="E4" s="3">
        <v>0</v>
      </c>
      <c r="F4" s="3">
        <f t="shared" si="0"/>
        <v>1858626.797</v>
      </c>
      <c r="G4" s="3">
        <f>F4*(1+Assumptions!B5+Assumptions!B6+Assumptions!B7)</f>
        <v>2044489.4767000002</v>
      </c>
      <c r="H4" s="3">
        <f>G4*(1+Assumptions!B8+Assumptions!B9)</f>
        <v>2351162.8982050004</v>
      </c>
      <c r="I4" s="3">
        <f t="shared" si="1"/>
        <v>195930.24151708337</v>
      </c>
      <c r="J4" s="3">
        <f t="shared" si="2"/>
        <v>1175581.4491025002</v>
      </c>
      <c r="K4" s="16">
        <f t="shared" si="3"/>
        <v>2351162.8982050004</v>
      </c>
    </row>
    <row r="5" spans="1:11" x14ac:dyDescent="0.35">
      <c r="A5" s="8" t="s">
        <v>10</v>
      </c>
      <c r="B5" s="1">
        <f>SUM('Livestock Count'!B5:F5)</f>
        <v>18077227</v>
      </c>
      <c r="C5" s="3">
        <f>B5*Assumptions!B2*Assumptions!B3</f>
        <v>4474113.682500001</v>
      </c>
      <c r="D5" s="3">
        <f>(B5+C5)*Assumptions!B4</f>
        <v>21423773.648375001</v>
      </c>
      <c r="E5" s="3">
        <v>0</v>
      </c>
      <c r="F5" s="3">
        <f t="shared" si="0"/>
        <v>42847547.296750002</v>
      </c>
      <c r="G5" s="3">
        <f>F5*(1+Assumptions!B5+Assumptions!B6+Assumptions!B7)</f>
        <v>47132302.026425004</v>
      </c>
      <c r="H5" s="3">
        <f>G5*(1+Assumptions!B8+Assumptions!B9)</f>
        <v>54202147.330388762</v>
      </c>
      <c r="I5" s="3">
        <f t="shared" si="1"/>
        <v>4516845.6108657299</v>
      </c>
      <c r="J5" s="3">
        <f t="shared" si="2"/>
        <v>27101073.665194381</v>
      </c>
      <c r="K5" s="16">
        <f t="shared" si="3"/>
        <v>54202147.330388762</v>
      </c>
    </row>
    <row r="6" spans="1:11" x14ac:dyDescent="0.35">
      <c r="A6" s="8" t="s">
        <v>11</v>
      </c>
      <c r="B6" s="1">
        <f>SUM('Livestock Count'!B6:F6)</f>
        <v>36495801</v>
      </c>
      <c r="C6" s="3">
        <f>B6*Assumptions!B2*Assumptions!B3</f>
        <v>9032710.7475000005</v>
      </c>
      <c r="D6" s="3">
        <f>(B6+C6)*Assumptions!B4</f>
        <v>43252086.160125002</v>
      </c>
      <c r="E6" s="3">
        <v>0</v>
      </c>
      <c r="F6" s="3">
        <f t="shared" si="0"/>
        <v>86504172.320250005</v>
      </c>
      <c r="G6" s="3">
        <f>F6*(1+Assumptions!B5+Assumptions!B6+Assumptions!B7)</f>
        <v>95154589.552275017</v>
      </c>
      <c r="H6" s="3">
        <f>G6*(1+Assumptions!B8+Assumptions!B9)</f>
        <v>109427777.98511629</v>
      </c>
      <c r="I6" s="3">
        <f t="shared" si="1"/>
        <v>9118981.4987596907</v>
      </c>
      <c r="J6" s="3">
        <f t="shared" si="2"/>
        <v>54713888.992558144</v>
      </c>
      <c r="K6" s="16">
        <f t="shared" si="3"/>
        <v>109427777.98511629</v>
      </c>
    </row>
    <row r="7" spans="1:11" x14ac:dyDescent="0.35">
      <c r="A7" s="8" t="s">
        <v>12</v>
      </c>
      <c r="B7" s="1">
        <f>SUM('Livestock Count'!B7:F7)</f>
        <v>26753</v>
      </c>
      <c r="C7" s="3">
        <f>B7*Assumptions!B2*Assumptions!B3</f>
        <v>6621.3675000000012</v>
      </c>
      <c r="D7" s="3">
        <f>(B7+C7)*Assumptions!B4</f>
        <v>31705.649125</v>
      </c>
      <c r="E7" s="3">
        <v>0</v>
      </c>
      <c r="F7" s="3">
        <f t="shared" si="0"/>
        <v>63411.29825</v>
      </c>
      <c r="G7" s="3">
        <f>F7*(1+Assumptions!B5+Assumptions!B6+Assumptions!B7)</f>
        <v>69752.428075000003</v>
      </c>
      <c r="H7" s="3">
        <f>G7*(1+Assumptions!B8+Assumptions!B9)</f>
        <v>80215.292286250013</v>
      </c>
      <c r="I7" s="3">
        <f t="shared" si="1"/>
        <v>6684.6076905208347</v>
      </c>
      <c r="J7" s="3">
        <f t="shared" si="2"/>
        <v>40107.646143125006</v>
      </c>
      <c r="K7" s="16">
        <f t="shared" si="3"/>
        <v>80215.292286250013</v>
      </c>
    </row>
    <row r="8" spans="1:11" x14ac:dyDescent="0.35">
      <c r="A8" s="8" t="s">
        <v>13</v>
      </c>
      <c r="B8" s="1">
        <f>SUM('Livestock Count'!B8:F8)</f>
        <v>15871463</v>
      </c>
      <c r="C8" s="3">
        <f>B8*Assumptions!B2*Assumptions!B3</f>
        <v>3928187.0925000003</v>
      </c>
      <c r="D8" s="3">
        <f>(B8+C8)*Assumptions!B4</f>
        <v>18809667.587875001</v>
      </c>
      <c r="E8" s="3">
        <v>0</v>
      </c>
      <c r="F8" s="3">
        <f t="shared" si="0"/>
        <v>37619335.175750002</v>
      </c>
      <c r="G8" s="3">
        <f>F8*(1+Assumptions!B5+Assumptions!B6+Assumptions!B7)</f>
        <v>41381268.693325005</v>
      </c>
      <c r="H8" s="3">
        <f>G8*(1+Assumptions!B8+Assumptions!B9)</f>
        <v>47588458.997323759</v>
      </c>
      <c r="I8" s="3">
        <f t="shared" si="1"/>
        <v>3965704.9164436464</v>
      </c>
      <c r="J8" s="3">
        <f t="shared" si="2"/>
        <v>23794229.498661879</v>
      </c>
      <c r="K8" s="16">
        <f t="shared" si="3"/>
        <v>47588458.997323759</v>
      </c>
    </row>
    <row r="9" spans="1:11" x14ac:dyDescent="0.35">
      <c r="A9" s="8" t="s">
        <v>14</v>
      </c>
      <c r="B9" s="1">
        <f>SUM('Livestock Count'!B9:F9)</f>
        <v>48365</v>
      </c>
      <c r="C9" s="3">
        <f>B9*Assumptions!B2*Assumptions!B3</f>
        <v>11970.337500000001</v>
      </c>
      <c r="D9" s="3">
        <f>(B9+C9)*Assumptions!B4</f>
        <v>57318.570625</v>
      </c>
      <c r="E9" s="3">
        <v>0</v>
      </c>
      <c r="F9" s="3">
        <f t="shared" si="0"/>
        <v>114637.14125</v>
      </c>
      <c r="G9" s="3">
        <f>F9*(1+Assumptions!B5+Assumptions!B6+Assumptions!B7)</f>
        <v>126100.85537500001</v>
      </c>
      <c r="H9" s="3">
        <f>G9*(1+Assumptions!B8+Assumptions!B9)</f>
        <v>145015.98368125004</v>
      </c>
      <c r="I9" s="3">
        <f t="shared" si="1"/>
        <v>12084.665306770838</v>
      </c>
      <c r="J9" s="3">
        <f t="shared" si="2"/>
        <v>72507.991840625022</v>
      </c>
      <c r="K9" s="16">
        <f t="shared" si="3"/>
        <v>145015.98368125004</v>
      </c>
    </row>
    <row r="10" spans="1:11" x14ac:dyDescent="0.35">
      <c r="A10" s="8" t="s">
        <v>15</v>
      </c>
      <c r="B10" s="1">
        <f>SUM('Livestock Count'!B10:F10)</f>
        <v>3269</v>
      </c>
      <c r="C10" s="3">
        <f>B10*Assumptions!B2*Assumptions!B3</f>
        <v>809.07749999999999</v>
      </c>
      <c r="D10" s="3">
        <f>(B10+C10)*Assumptions!B4</f>
        <v>3874.1736249999999</v>
      </c>
      <c r="E10" s="3">
        <v>0</v>
      </c>
      <c r="F10" s="3">
        <f t="shared" si="0"/>
        <v>7748.3472499999998</v>
      </c>
      <c r="G10" s="3">
        <f>F10*(1+Assumptions!B5+Assumptions!B6+Assumptions!B7)</f>
        <v>8523.1819750000013</v>
      </c>
      <c r="H10" s="3">
        <f>G10*(1+Assumptions!B8+Assumptions!B9)</f>
        <v>9801.6592712500023</v>
      </c>
      <c r="I10" s="3">
        <f t="shared" si="1"/>
        <v>816.80493927083353</v>
      </c>
      <c r="J10" s="3">
        <f t="shared" si="2"/>
        <v>4900.8296356250012</v>
      </c>
      <c r="K10" s="16">
        <f t="shared" si="3"/>
        <v>9801.6592712500023</v>
      </c>
    </row>
    <row r="11" spans="1:11" x14ac:dyDescent="0.35">
      <c r="A11" s="8" t="s">
        <v>16</v>
      </c>
      <c r="B11" s="1">
        <f>SUM('Livestock Count'!B11:F11)</f>
        <v>356323</v>
      </c>
      <c r="C11" s="3">
        <f>B11*Assumptions!B2*Assumptions!B3</f>
        <v>88189.942500000019</v>
      </c>
      <c r="D11" s="3">
        <f>(B11+C11)*Assumptions!B4</f>
        <v>422287.29537499999</v>
      </c>
      <c r="E11" s="3">
        <v>0</v>
      </c>
      <c r="F11" s="3">
        <f t="shared" si="0"/>
        <v>844574.59074999997</v>
      </c>
      <c r="G11" s="3">
        <f>F11*(1+Assumptions!B5+Assumptions!B6+Assumptions!B7)</f>
        <v>929032.04982499999</v>
      </c>
      <c r="H11" s="3">
        <f>G11*(1+Assumptions!B8+Assumptions!B9)</f>
        <v>1068386.8572987502</v>
      </c>
      <c r="I11" s="3">
        <f t="shared" si="1"/>
        <v>89032.238108229183</v>
      </c>
      <c r="J11" s="3">
        <f t="shared" si="2"/>
        <v>534193.4286493751</v>
      </c>
      <c r="K11" s="16">
        <f t="shared" si="3"/>
        <v>1068386.8572987502</v>
      </c>
    </row>
    <row r="12" spans="1:11" x14ac:dyDescent="0.35">
      <c r="A12" s="8" t="s">
        <v>17</v>
      </c>
      <c r="B12" s="1">
        <f>SUM('Livestock Count'!B12:F12)</f>
        <v>132388</v>
      </c>
      <c r="C12" s="3">
        <f>B12*Assumptions!B2*Assumptions!B3</f>
        <v>32766.030000000006</v>
      </c>
      <c r="D12" s="3">
        <f>(B12+C12)*Assumptions!B4</f>
        <v>156896.3285</v>
      </c>
      <c r="E12" s="3">
        <v>0</v>
      </c>
      <c r="F12" s="3">
        <f t="shared" si="0"/>
        <v>313792.65700000001</v>
      </c>
      <c r="G12" s="3">
        <f>F12*(1+Assumptions!B5+Assumptions!B6+Assumptions!B7)</f>
        <v>345171.92270000005</v>
      </c>
      <c r="H12" s="3">
        <f>G12*(1+Assumptions!B8+Assumptions!B9)</f>
        <v>396947.71110500011</v>
      </c>
      <c r="I12" s="3">
        <f t="shared" si="1"/>
        <v>33078.975925416678</v>
      </c>
      <c r="J12" s="3">
        <f t="shared" si="2"/>
        <v>198473.85555250006</v>
      </c>
      <c r="K12" s="16">
        <f t="shared" si="3"/>
        <v>396947.71110500011</v>
      </c>
    </row>
    <row r="13" spans="1:11" x14ac:dyDescent="0.35">
      <c r="A13" s="8" t="s">
        <v>18</v>
      </c>
      <c r="B13" s="1">
        <f>SUM('Livestock Count'!B13:F13)</f>
        <v>26832552</v>
      </c>
      <c r="C13" s="3">
        <f>B13*Assumptions!B2*Assumptions!B3</f>
        <v>6641056.620000001</v>
      </c>
      <c r="D13" s="3">
        <f>(B13+C13)*Assumptions!B4</f>
        <v>31799928.188999999</v>
      </c>
      <c r="E13" s="3">
        <v>0</v>
      </c>
      <c r="F13" s="3">
        <f t="shared" si="0"/>
        <v>63599856.377999999</v>
      </c>
      <c r="G13" s="3">
        <f>F13*(1+Assumptions!B5+Assumptions!B6+Assumptions!B7)</f>
        <v>69959842.015799999</v>
      </c>
      <c r="H13" s="3">
        <f>G13*(1+Assumptions!B8+Assumptions!B9)</f>
        <v>80453818.318170011</v>
      </c>
      <c r="I13" s="3">
        <f t="shared" si="1"/>
        <v>6704484.8598475009</v>
      </c>
      <c r="J13" s="3">
        <f t="shared" si="2"/>
        <v>40226909.159085006</v>
      </c>
      <c r="K13" s="16">
        <f t="shared" si="3"/>
        <v>80453818.318170011</v>
      </c>
    </row>
    <row r="14" spans="1:11" x14ac:dyDescent="0.35">
      <c r="A14" s="8" t="s">
        <v>19</v>
      </c>
      <c r="B14" s="1">
        <f>SUM('Livestock Count'!B14:F14)</f>
        <v>7027955</v>
      </c>
      <c r="C14" s="3">
        <f>B14*Assumptions!B2*Assumptions!B3</f>
        <v>1739418.8625000003</v>
      </c>
      <c r="D14" s="3">
        <f>(B14+C14)*Assumptions!B4</f>
        <v>8329005.1693750005</v>
      </c>
      <c r="E14" s="3">
        <v>0</v>
      </c>
      <c r="F14" s="3">
        <f t="shared" si="0"/>
        <v>16658010.338750001</v>
      </c>
      <c r="G14" s="3">
        <f>F14*(1+Assumptions!B5+Assumptions!B6+Assumptions!B7)</f>
        <v>18323811.372625001</v>
      </c>
      <c r="H14" s="3">
        <f>G14*(1+Assumptions!B8+Assumptions!B9)</f>
        <v>21072383.078518752</v>
      </c>
      <c r="I14" s="3">
        <f t="shared" si="1"/>
        <v>1756031.9232098961</v>
      </c>
      <c r="J14" s="3">
        <f t="shared" si="2"/>
        <v>10536191.539259376</v>
      </c>
      <c r="K14" s="16">
        <f t="shared" si="3"/>
        <v>21072383.078518752</v>
      </c>
    </row>
    <row r="15" spans="1:11" x14ac:dyDescent="0.35">
      <c r="A15" s="8" t="s">
        <v>20</v>
      </c>
      <c r="B15" s="1">
        <f>SUM('Livestock Count'!B15:F15)</f>
        <v>4376817</v>
      </c>
      <c r="C15" s="3">
        <f>B15*Assumptions!B2*Assumptions!B3</f>
        <v>1083262.2075</v>
      </c>
      <c r="D15" s="3">
        <f>(B15+C15)*Assumptions!B4</f>
        <v>5187075.2471249998</v>
      </c>
      <c r="E15" s="3">
        <v>0</v>
      </c>
      <c r="F15" s="3">
        <f t="shared" si="0"/>
        <v>10374150.49425</v>
      </c>
      <c r="G15" s="3">
        <f>F15*(1+Assumptions!B5+Assumptions!B6+Assumptions!B7)</f>
        <v>11411565.543675</v>
      </c>
      <c r="H15" s="3">
        <f>G15*(1+Assumptions!B8+Assumptions!B9)</f>
        <v>13123300.375226252</v>
      </c>
      <c r="I15" s="3">
        <f t="shared" si="1"/>
        <v>1093608.3646021876</v>
      </c>
      <c r="J15" s="3">
        <f t="shared" si="2"/>
        <v>6561650.1876131259</v>
      </c>
      <c r="K15" s="16">
        <f t="shared" si="3"/>
        <v>13123300.375226252</v>
      </c>
    </row>
    <row r="16" spans="1:11" x14ac:dyDescent="0.35">
      <c r="A16" s="8" t="s">
        <v>21</v>
      </c>
      <c r="B16" s="1">
        <f>SUM('Livestock Count'!B16:F16)</f>
        <v>8209005</v>
      </c>
      <c r="C16" s="3">
        <f>B16*Assumptions!B2*Assumptions!B3</f>
        <v>2031728.7375</v>
      </c>
      <c r="D16" s="3">
        <f>(B16+C16)*Assumptions!B4</f>
        <v>9728697.0506250001</v>
      </c>
      <c r="E16" s="3">
        <v>0</v>
      </c>
      <c r="F16" s="3">
        <f t="shared" si="0"/>
        <v>19457394.10125</v>
      </c>
      <c r="G16" s="3">
        <f>F16*(1+Assumptions!B5+Assumptions!B6+Assumptions!B7)</f>
        <v>21403133.511375003</v>
      </c>
      <c r="H16" s="3">
        <f>G16*(1+Assumptions!B8+Assumptions!B9)</f>
        <v>24613603.538081255</v>
      </c>
      <c r="I16" s="3">
        <f t="shared" si="1"/>
        <v>2051133.6281734379</v>
      </c>
      <c r="J16" s="3">
        <f t="shared" si="2"/>
        <v>12306801.769040627</v>
      </c>
      <c r="K16" s="16">
        <f t="shared" si="3"/>
        <v>24613603.538081255</v>
      </c>
    </row>
    <row r="17" spans="1:11" x14ac:dyDescent="0.35">
      <c r="A17" s="8" t="s">
        <v>22</v>
      </c>
      <c r="B17" s="1">
        <f>SUM('Livestock Count'!B17:F17)</f>
        <v>23612694</v>
      </c>
      <c r="C17" s="3">
        <f>B17*Assumptions!B2*Assumptions!B3</f>
        <v>5844141.7650000006</v>
      </c>
      <c r="D17" s="3">
        <f>(B17+C17)*Assumptions!B4</f>
        <v>27983993.976749998</v>
      </c>
      <c r="E17" s="3">
        <v>0</v>
      </c>
      <c r="F17" s="3">
        <f t="shared" si="0"/>
        <v>55967987.953499995</v>
      </c>
      <c r="G17" s="3">
        <f>F17*(1+Assumptions!B5+Assumptions!B6+Assumptions!B7)</f>
        <v>61564786.748850003</v>
      </c>
      <c r="H17" s="3">
        <f>G17*(1+Assumptions!B8+Assumptions!B9)</f>
        <v>70799504.76117751</v>
      </c>
      <c r="I17" s="3">
        <f t="shared" si="1"/>
        <v>5899958.7300981255</v>
      </c>
      <c r="J17" s="3">
        <f t="shared" si="2"/>
        <v>35399752.380588755</v>
      </c>
      <c r="K17" s="16">
        <f t="shared" si="3"/>
        <v>70799504.76117751</v>
      </c>
    </row>
    <row r="18" spans="1:11" x14ac:dyDescent="0.35">
      <c r="A18" s="8" t="s">
        <v>23</v>
      </c>
      <c r="B18" s="1">
        <f>SUM('Livestock Count'!B18:F18)</f>
        <v>28997520</v>
      </c>
      <c r="C18" s="3">
        <f>B18*Assumptions!B2*Assumptions!B3</f>
        <v>7176886.2000000011</v>
      </c>
      <c r="D18" s="3">
        <f>(B18+C18)*Assumptions!B4</f>
        <v>34365685.890000001</v>
      </c>
      <c r="E18" s="3">
        <v>0</v>
      </c>
      <c r="F18" s="3">
        <f t="shared" si="0"/>
        <v>68731371.780000001</v>
      </c>
      <c r="G18" s="3">
        <f>F18*(1+Assumptions!B5+Assumptions!B6+Assumptions!B7)</f>
        <v>75604508.958000004</v>
      </c>
      <c r="H18" s="3">
        <f>G18*(1+Assumptions!B8+Assumptions!B9)</f>
        <v>86945185.301700011</v>
      </c>
      <c r="I18" s="3">
        <f t="shared" si="1"/>
        <v>7245432.1084750006</v>
      </c>
      <c r="J18" s="3">
        <f t="shared" si="2"/>
        <v>43472592.650850005</v>
      </c>
      <c r="K18" s="16">
        <f t="shared" si="3"/>
        <v>86945185.301700011</v>
      </c>
    </row>
    <row r="19" spans="1:11" x14ac:dyDescent="0.35">
      <c r="A19" s="8" t="s">
        <v>24</v>
      </c>
      <c r="B19" s="1">
        <f>SUM('Livestock Count'!B19:F19)</f>
        <v>2908006</v>
      </c>
      <c r="C19" s="3">
        <f>B19*Assumptions!B2*Assumptions!B3</f>
        <v>719731.48499999999</v>
      </c>
      <c r="D19" s="3">
        <f>(B19+C19)*Assumptions!B4</f>
        <v>3446350.6107499995</v>
      </c>
      <c r="E19" s="3">
        <v>0</v>
      </c>
      <c r="F19" s="3">
        <f t="shared" si="0"/>
        <v>6892701.2214999991</v>
      </c>
      <c r="G19" s="3">
        <f>F19*(1+Assumptions!B5+Assumptions!B6+Assumptions!B7)</f>
        <v>7581971.3436499992</v>
      </c>
      <c r="H19" s="3">
        <f>G19*(1+Assumptions!B8+Assumptions!B9)</f>
        <v>8719267.0451974999</v>
      </c>
      <c r="I19" s="3">
        <f t="shared" si="1"/>
        <v>726605.58709979162</v>
      </c>
      <c r="J19" s="3">
        <f t="shared" si="2"/>
        <v>4359633.52259875</v>
      </c>
      <c r="K19" s="16">
        <f t="shared" si="3"/>
        <v>8719267.0451974999</v>
      </c>
    </row>
    <row r="20" spans="1:11" x14ac:dyDescent="0.35">
      <c r="A20" s="8" t="s">
        <v>25</v>
      </c>
      <c r="B20" s="1">
        <f>SUM('Livestock Count'!B20:F20)</f>
        <v>45697</v>
      </c>
      <c r="C20" s="3">
        <f>B20*Assumptions!B2*Assumptions!B3</f>
        <v>11310.007500000002</v>
      </c>
      <c r="D20" s="3">
        <f>(B20+C20)*Assumptions!B4</f>
        <v>54156.657124999998</v>
      </c>
      <c r="E20" s="3">
        <v>0</v>
      </c>
      <c r="F20" s="3">
        <f t="shared" si="0"/>
        <v>108313.31425</v>
      </c>
      <c r="G20" s="3">
        <f>F20*(1+Assumptions!B5+Assumptions!B6+Assumptions!B7)</f>
        <v>119144.64567500001</v>
      </c>
      <c r="H20" s="3">
        <f>G20*(1+Assumptions!B8+Assumptions!B9)</f>
        <v>137016.34252625002</v>
      </c>
      <c r="I20" s="3">
        <f t="shared" si="1"/>
        <v>11418.028543854169</v>
      </c>
      <c r="J20" s="3">
        <f t="shared" si="2"/>
        <v>68508.171263125012</v>
      </c>
      <c r="K20" s="16">
        <f t="shared" si="3"/>
        <v>137016.34252625002</v>
      </c>
    </row>
    <row r="21" spans="1:11" x14ac:dyDescent="0.35">
      <c r="A21" s="8" t="s">
        <v>26</v>
      </c>
      <c r="B21" s="1">
        <f>SUM('Livestock Count'!B21:F21)</f>
        <v>40611684</v>
      </c>
      <c r="C21" s="3">
        <f>B21*Assumptions!B2*Assumptions!B3</f>
        <v>10051391.790000001</v>
      </c>
      <c r="D21" s="3">
        <f>(B21+C21)*Assumptions!B4</f>
        <v>48129922.000499994</v>
      </c>
      <c r="E21" s="3">
        <v>0</v>
      </c>
      <c r="F21" s="3">
        <f t="shared" si="0"/>
        <v>96259844.000999987</v>
      </c>
      <c r="G21" s="3">
        <f>F21*(1+Assumptions!B5+Assumptions!B6+Assumptions!B7)</f>
        <v>105885828.40109999</v>
      </c>
      <c r="H21" s="3">
        <f>G21*(1+Assumptions!B8+Assumptions!B9)</f>
        <v>121768702.661265</v>
      </c>
      <c r="I21" s="3">
        <f t="shared" si="1"/>
        <v>10147391.88843875</v>
      </c>
      <c r="J21" s="3">
        <f t="shared" si="2"/>
        <v>60884351.3306325</v>
      </c>
      <c r="K21" s="16">
        <f t="shared" si="3"/>
        <v>121768702.661265</v>
      </c>
    </row>
    <row r="22" spans="1:11" x14ac:dyDescent="0.35">
      <c r="A22" s="8" t="s">
        <v>27</v>
      </c>
      <c r="B22" s="1">
        <f>SUM('Livestock Count'!B22:F22)</f>
        <v>33042208</v>
      </c>
      <c r="C22" s="3">
        <f>B22*Assumptions!B2*Assumptions!B3</f>
        <v>8177946.4800000014</v>
      </c>
      <c r="D22" s="3">
        <f>(B22+C22)*Assumptions!B4</f>
        <v>39159146.756000005</v>
      </c>
      <c r="E22" s="3">
        <v>0</v>
      </c>
      <c r="F22" s="3">
        <f t="shared" si="0"/>
        <v>78318293.512000009</v>
      </c>
      <c r="G22" s="3">
        <f>F22*(1+Assumptions!B5+Assumptions!B6+Assumptions!B7)</f>
        <v>86150122.863200024</v>
      </c>
      <c r="H22" s="3">
        <f>G22*(1+Assumptions!B8+Assumptions!B9)</f>
        <v>99072641.29268004</v>
      </c>
      <c r="I22" s="3">
        <f t="shared" si="1"/>
        <v>8256053.4410566697</v>
      </c>
      <c r="J22" s="3">
        <f t="shared" si="2"/>
        <v>49536320.64634002</v>
      </c>
      <c r="K22" s="16">
        <f t="shared" si="3"/>
        <v>99072641.29268004</v>
      </c>
    </row>
    <row r="23" spans="1:11" x14ac:dyDescent="0.35">
      <c r="A23" s="8" t="s">
        <v>28</v>
      </c>
      <c r="B23" s="1">
        <f>SUM('Livestock Count'!B23:F23)</f>
        <v>540575</v>
      </c>
      <c r="C23" s="3">
        <f>B23*Assumptions!B2*Assumptions!B3</f>
        <v>133792.3125</v>
      </c>
      <c r="D23" s="3">
        <f>(B23+C23)*Assumptions!B4</f>
        <v>640648.94687500002</v>
      </c>
      <c r="E23" s="3">
        <v>0</v>
      </c>
      <c r="F23" s="3">
        <f t="shared" si="0"/>
        <v>1281297.89375</v>
      </c>
      <c r="G23" s="3">
        <f>F23*(1+Assumptions!B5+Assumptions!B6+Assumptions!B7)</f>
        <v>1409427.6831250002</v>
      </c>
      <c r="H23" s="3">
        <f>G23*(1+Assumptions!B8+Assumptions!B9)</f>
        <v>1620841.8355937505</v>
      </c>
      <c r="I23" s="3">
        <f t="shared" si="1"/>
        <v>135070.15296614586</v>
      </c>
      <c r="J23" s="3">
        <f t="shared" si="2"/>
        <v>810420.91779687523</v>
      </c>
      <c r="K23" s="16">
        <f t="shared" si="3"/>
        <v>1620841.8355937505</v>
      </c>
    </row>
    <row r="24" spans="1:11" x14ac:dyDescent="0.35">
      <c r="A24" s="8" t="s">
        <v>29</v>
      </c>
      <c r="B24" s="1">
        <f>SUM('Livestock Count'!B24:F24)</f>
        <v>2038830</v>
      </c>
      <c r="C24" s="3">
        <f>B24*Assumptions!B2*Assumptions!B3</f>
        <v>504610.42499999999</v>
      </c>
      <c r="D24" s="3">
        <f>(B24+C24)*Assumptions!B4</f>
        <v>2416268.4037499996</v>
      </c>
      <c r="E24" s="3">
        <v>0</v>
      </c>
      <c r="F24" s="3">
        <f t="shared" si="0"/>
        <v>4832536.8074999992</v>
      </c>
      <c r="G24" s="3">
        <f>F24*(1+Assumptions!B5+Assumptions!B6+Assumptions!B7)</f>
        <v>5315790.4882499995</v>
      </c>
      <c r="H24" s="3">
        <f>G24*(1+Assumptions!B8+Assumptions!B9)</f>
        <v>6113159.0614875006</v>
      </c>
      <c r="I24" s="3">
        <f t="shared" si="1"/>
        <v>509429.92179062503</v>
      </c>
      <c r="J24" s="3">
        <f t="shared" si="2"/>
        <v>3056579.5307437503</v>
      </c>
      <c r="K24" s="16">
        <f t="shared" si="3"/>
        <v>6113159.0614875006</v>
      </c>
    </row>
    <row r="25" spans="1:11" x14ac:dyDescent="0.35">
      <c r="A25" s="8" t="s">
        <v>30</v>
      </c>
      <c r="B25" s="1">
        <f>SUM('Livestock Count'!B25:F25)</f>
        <v>355580</v>
      </c>
      <c r="C25" s="3">
        <f>B25*Assumptions!B2*Assumptions!B3</f>
        <v>88006.050000000017</v>
      </c>
      <c r="D25" s="3">
        <f>(B25+C25)*Assumptions!B4</f>
        <v>421406.7475</v>
      </c>
      <c r="E25" s="3">
        <v>0</v>
      </c>
      <c r="F25" s="3">
        <f t="shared" si="0"/>
        <v>842813.495</v>
      </c>
      <c r="G25" s="3">
        <f>F25*(1+Assumptions!B5+Assumptions!B6+Assumptions!B7)</f>
        <v>927094.84450000012</v>
      </c>
      <c r="H25" s="3">
        <f>G25*(1+Assumptions!B8+Assumptions!B9)</f>
        <v>1066159.0711750002</v>
      </c>
      <c r="I25" s="3">
        <f t="shared" si="1"/>
        <v>88846.589264583352</v>
      </c>
      <c r="J25" s="3">
        <f t="shared" si="2"/>
        <v>533079.53558750008</v>
      </c>
      <c r="K25" s="16">
        <f t="shared" si="3"/>
        <v>1066159.0711750002</v>
      </c>
    </row>
    <row r="26" spans="1:11" x14ac:dyDescent="0.35">
      <c r="A26" s="8" t="s">
        <v>31</v>
      </c>
      <c r="B26" s="1">
        <f>SUM('Livestock Count'!B26:F26)</f>
        <v>530608</v>
      </c>
      <c r="C26" s="3">
        <f>B26*Assumptions!B2*Assumptions!B3</f>
        <v>131325.48000000001</v>
      </c>
      <c r="D26" s="3">
        <f>(B26+C26)*Assumptions!B4</f>
        <v>628836.80599999998</v>
      </c>
      <c r="E26" s="3">
        <v>0</v>
      </c>
      <c r="F26" s="3">
        <f t="shared" si="0"/>
        <v>1257673.612</v>
      </c>
      <c r="G26" s="3">
        <f>F26*(1+Assumptions!B5+Assumptions!B6+Assumptions!B7)</f>
        <v>1383440.9732000001</v>
      </c>
      <c r="H26" s="3">
        <f>G26*(1+Assumptions!B8+Assumptions!B9)</f>
        <v>1590957.1191800004</v>
      </c>
      <c r="I26" s="3">
        <f t="shared" si="1"/>
        <v>132579.75993166669</v>
      </c>
      <c r="J26" s="3">
        <f t="shared" si="2"/>
        <v>795478.55959000019</v>
      </c>
      <c r="K26" s="16">
        <f t="shared" si="3"/>
        <v>1590957.1191800004</v>
      </c>
    </row>
    <row r="27" spans="1:11" x14ac:dyDescent="0.35">
      <c r="A27" s="8" t="s">
        <v>32</v>
      </c>
      <c r="B27" s="1">
        <f>SUM('Livestock Count'!B27:F27)</f>
        <v>18170057</v>
      </c>
      <c r="C27" s="3">
        <f>B27*Assumptions!B2*Assumptions!B3</f>
        <v>4497089.1075000009</v>
      </c>
      <c r="D27" s="3">
        <f>(B27+C27)*Assumptions!B4</f>
        <v>21533788.802124999</v>
      </c>
      <c r="E27" s="3">
        <v>0</v>
      </c>
      <c r="F27" s="3">
        <f t="shared" si="0"/>
        <v>43067577.604249999</v>
      </c>
      <c r="G27" s="3">
        <f>F27*(1+Assumptions!B5+Assumptions!B6+Assumptions!B7)</f>
        <v>47374335.364675</v>
      </c>
      <c r="H27" s="3">
        <f>G27*(1+Assumptions!B8+Assumptions!B9)</f>
        <v>54480485.669376254</v>
      </c>
      <c r="I27" s="3">
        <f t="shared" si="1"/>
        <v>4540040.4724480212</v>
      </c>
      <c r="J27" s="3">
        <f t="shared" si="2"/>
        <v>27240242.834688127</v>
      </c>
      <c r="K27" s="16">
        <f t="shared" si="3"/>
        <v>54480485.669376254</v>
      </c>
    </row>
    <row r="28" spans="1:11" x14ac:dyDescent="0.35">
      <c r="A28" s="8" t="s">
        <v>33</v>
      </c>
      <c r="B28" s="1">
        <f>SUM('Livestock Count'!B28:F28)</f>
        <v>151334</v>
      </c>
      <c r="C28" s="3">
        <f>B28*Assumptions!B2*Assumptions!B3</f>
        <v>37455.165000000008</v>
      </c>
      <c r="D28" s="3">
        <f>(B28+C28)*Assumptions!B4</f>
        <v>179349.70675000001</v>
      </c>
      <c r="E28" s="3">
        <v>0</v>
      </c>
      <c r="F28" s="3">
        <f t="shared" si="0"/>
        <v>358699.41350000002</v>
      </c>
      <c r="G28" s="3">
        <f>F28*(1+Assumptions!B5+Assumptions!B6+Assumptions!B7)</f>
        <v>394569.35485000006</v>
      </c>
      <c r="H28" s="3">
        <f>G28*(1+Assumptions!B8+Assumptions!B9)</f>
        <v>453754.7580775001</v>
      </c>
      <c r="I28" s="3">
        <f t="shared" si="1"/>
        <v>37812.896506458339</v>
      </c>
      <c r="J28" s="3">
        <f t="shared" si="2"/>
        <v>226877.37903875005</v>
      </c>
      <c r="K28" s="16">
        <f t="shared" si="3"/>
        <v>453754.7580775001</v>
      </c>
    </row>
    <row r="29" spans="1:11" x14ac:dyDescent="0.35">
      <c r="A29" s="8" t="s">
        <v>34</v>
      </c>
      <c r="B29" s="1">
        <f>SUM('Livestock Count'!B29:F29)</f>
        <v>7033877</v>
      </c>
      <c r="C29" s="3">
        <f>B29*Assumptions!B2*Assumptions!B3</f>
        <v>1740884.5575000001</v>
      </c>
      <c r="D29" s="3">
        <f>(B29+C29)*Assumptions!B4</f>
        <v>8336023.4796250006</v>
      </c>
      <c r="E29" s="3">
        <v>0</v>
      </c>
      <c r="F29" s="3">
        <f t="shared" si="0"/>
        <v>16672046.959250001</v>
      </c>
      <c r="G29" s="3">
        <f>F29*(1+Assumptions!B5+Assumptions!B6+Assumptions!B7)</f>
        <v>18339251.655175004</v>
      </c>
      <c r="H29" s="3">
        <f>G29*(1+Assumptions!B8+Assumptions!B9)</f>
        <v>21090139.403451256</v>
      </c>
      <c r="I29" s="3">
        <f t="shared" si="1"/>
        <v>1757511.6169542714</v>
      </c>
      <c r="J29" s="3">
        <f t="shared" si="2"/>
        <v>10545069.701725628</v>
      </c>
      <c r="K29" s="16">
        <f t="shared" si="3"/>
        <v>21090139.403451256</v>
      </c>
    </row>
    <row r="30" spans="1:11" x14ac:dyDescent="0.35">
      <c r="A30" s="8" t="s">
        <v>35</v>
      </c>
      <c r="B30" s="1">
        <f>SUM('Livestock Count'!B30:F30)</f>
        <v>56529814</v>
      </c>
      <c r="C30" s="3">
        <f>B30*Assumptions!B2*Assumptions!B3</f>
        <v>13991128.965000002</v>
      </c>
      <c r="D30" s="3">
        <f>(B30+C30)*Assumptions!B4</f>
        <v>66994895.816749997</v>
      </c>
      <c r="E30" s="3">
        <v>0</v>
      </c>
      <c r="F30" s="3">
        <f t="shared" si="0"/>
        <v>133989791.63349999</v>
      </c>
      <c r="G30" s="3">
        <f>F30*(1+Assumptions!B5+Assumptions!B6+Assumptions!B7)</f>
        <v>147388770.79685</v>
      </c>
      <c r="H30" s="3">
        <f>G30*(1+Assumptions!B8+Assumptions!B9)</f>
        <v>169497086.41637751</v>
      </c>
      <c r="I30" s="3">
        <f t="shared" si="1"/>
        <v>14124757.201364793</v>
      </c>
      <c r="J30" s="3">
        <f t="shared" si="2"/>
        <v>84748543.208188757</v>
      </c>
      <c r="K30" s="16">
        <f t="shared" si="3"/>
        <v>169497086.41637751</v>
      </c>
    </row>
    <row r="31" spans="1:11" x14ac:dyDescent="0.35">
      <c r="A31" s="8" t="s">
        <v>36</v>
      </c>
      <c r="B31" s="1">
        <f>SUM('Livestock Count'!B31:F31)</f>
        <v>268996</v>
      </c>
      <c r="C31" s="3">
        <f>B31*Assumptions!B2*Assumptions!B3</f>
        <v>66576.510000000009</v>
      </c>
      <c r="D31" s="3">
        <f>(B31+C31)*Assumptions!B4</f>
        <v>318793.88449999999</v>
      </c>
      <c r="E31" s="3">
        <v>0</v>
      </c>
      <c r="F31" s="3">
        <f t="shared" si="0"/>
        <v>637587.76899999997</v>
      </c>
      <c r="G31" s="3">
        <f>F31*(1+Assumptions!B5+Assumptions!B6+Assumptions!B7)</f>
        <v>701346.54590000003</v>
      </c>
      <c r="H31" s="3">
        <f>G31*(1+Assumptions!B8+Assumptions!B9)</f>
        <v>806548.52778500016</v>
      </c>
      <c r="I31" s="3">
        <f t="shared" si="1"/>
        <v>67212.377315416685</v>
      </c>
      <c r="J31" s="3">
        <f t="shared" si="2"/>
        <v>403274.26389250008</v>
      </c>
      <c r="K31" s="16">
        <f t="shared" si="3"/>
        <v>806548.52778500016</v>
      </c>
    </row>
    <row r="32" spans="1:11" x14ac:dyDescent="0.35">
      <c r="A32" s="8" t="s">
        <v>37</v>
      </c>
      <c r="B32" s="1">
        <f>SUM('Livestock Count'!B32:F32)</f>
        <v>24493464</v>
      </c>
      <c r="C32" s="3">
        <f>B32*Assumptions!B2*Assumptions!B3</f>
        <v>6062132.3400000008</v>
      </c>
      <c r="D32" s="3">
        <f>(B32+C32)*Assumptions!B4</f>
        <v>29027816.522999998</v>
      </c>
      <c r="E32" s="3">
        <v>0</v>
      </c>
      <c r="F32" s="3">
        <f t="shared" si="0"/>
        <v>58055633.045999996</v>
      </c>
      <c r="G32" s="3">
        <f>F32*(1+Assumptions!B5+Assumptions!B6+Assumptions!B7)</f>
        <v>63861196.350600004</v>
      </c>
      <c r="H32" s="3">
        <f>G32*(1+Assumptions!B8+Assumptions!B9)</f>
        <v>73440375.803190008</v>
      </c>
      <c r="I32" s="3">
        <f t="shared" si="1"/>
        <v>6120031.3169325003</v>
      </c>
      <c r="J32" s="3">
        <f t="shared" si="2"/>
        <v>36720187.901595004</v>
      </c>
      <c r="K32" s="16">
        <f t="shared" si="3"/>
        <v>73440375.803190008</v>
      </c>
    </row>
    <row r="33" spans="1:11" x14ac:dyDescent="0.35">
      <c r="A33" s="8" t="s">
        <v>38</v>
      </c>
      <c r="B33" s="1">
        <f>SUM('Livestock Count'!B33:F33)</f>
        <v>32634568</v>
      </c>
      <c r="C33" s="3">
        <f>B33*Assumptions!B2*Assumptions!B3</f>
        <v>8077055.580000001</v>
      </c>
      <c r="D33" s="3">
        <f>(B33+C33)*Assumptions!B4</f>
        <v>38676042.400999993</v>
      </c>
      <c r="E33" s="3">
        <v>0</v>
      </c>
      <c r="F33" s="3">
        <f t="shared" si="0"/>
        <v>77352084.801999986</v>
      </c>
      <c r="G33" s="3">
        <f>F33*(1+Assumptions!B5+Assumptions!B6+Assumptions!B7)</f>
        <v>85087293.282199994</v>
      </c>
      <c r="H33" s="3">
        <f>G33*(1+Assumptions!B8+Assumptions!B9)</f>
        <v>97850387.274530008</v>
      </c>
      <c r="I33" s="3">
        <f t="shared" si="1"/>
        <v>8154198.9395441674</v>
      </c>
      <c r="J33" s="3">
        <f t="shared" si="2"/>
        <v>48925193.637265004</v>
      </c>
      <c r="K33" s="16">
        <f t="shared" si="3"/>
        <v>97850387.274530008</v>
      </c>
    </row>
    <row r="34" spans="1:11" x14ac:dyDescent="0.35">
      <c r="A34" s="8" t="s">
        <v>39</v>
      </c>
      <c r="B34" s="1">
        <f>SUM('Livestock Count'!B34:F34)</f>
        <v>1317861</v>
      </c>
      <c r="C34" s="3">
        <f>B34*Assumptions!B2*Assumptions!B3</f>
        <v>326170.59750000003</v>
      </c>
      <c r="D34" s="3">
        <f>(B34+C34)*Assumptions!B4</f>
        <v>1561830.0176250001</v>
      </c>
      <c r="E34" s="3">
        <v>0</v>
      </c>
      <c r="F34" s="3">
        <f t="shared" si="0"/>
        <v>3123660.0352500002</v>
      </c>
      <c r="G34" s="3">
        <f>F34*(1+Assumptions!B5+Assumptions!B6+Assumptions!B7)</f>
        <v>3436026.0387750003</v>
      </c>
      <c r="H34" s="3">
        <f>G34*(1+Assumptions!B8+Assumptions!B9)</f>
        <v>3951429.9445912507</v>
      </c>
      <c r="I34" s="3">
        <f t="shared" si="1"/>
        <v>329285.82871593756</v>
      </c>
      <c r="J34" s="3">
        <f t="shared" si="2"/>
        <v>1975714.9722956254</v>
      </c>
      <c r="K34" s="16">
        <f t="shared" si="3"/>
        <v>3951429.9445912507</v>
      </c>
    </row>
    <row r="35" spans="1:11" x14ac:dyDescent="0.35">
      <c r="A35" s="8" t="s">
        <v>40</v>
      </c>
      <c r="B35" s="1">
        <f>SUM('Livestock Count'!B35:F35)</f>
        <v>67909854</v>
      </c>
      <c r="C35" s="3">
        <f>B35*Assumptions!B2*Assumptions!B3</f>
        <v>16807688.865000002</v>
      </c>
      <c r="D35" s="3">
        <f>(B35+C35)*Assumptions!B4</f>
        <v>80481665.721750006</v>
      </c>
      <c r="E35" s="3">
        <v>0</v>
      </c>
      <c r="F35" s="3">
        <f t="shared" si="0"/>
        <v>160963331.44350001</v>
      </c>
      <c r="G35" s="3">
        <f>F35*(1+Assumptions!B5+Assumptions!B6+Assumptions!B7)</f>
        <v>177059664.58785003</v>
      </c>
      <c r="H35" s="3">
        <f>G35*(1+Assumptions!B8+Assumptions!B9)</f>
        <v>203618614.27602756</v>
      </c>
      <c r="I35" s="3">
        <f t="shared" si="1"/>
        <v>16968217.856335629</v>
      </c>
      <c r="J35" s="3">
        <f t="shared" si="2"/>
        <v>101809307.13801378</v>
      </c>
      <c r="K35" s="16">
        <f t="shared" si="3"/>
        <v>203618614.27602756</v>
      </c>
    </row>
    <row r="36" spans="1:11" x14ac:dyDescent="0.35">
      <c r="A36" s="8" t="s">
        <v>41</v>
      </c>
      <c r="B36" s="1">
        <f>SUM('Livestock Count'!B36:F36)</f>
        <v>4392686</v>
      </c>
      <c r="C36" s="3">
        <f>B36*Assumptions!B2*Assumptions!B3</f>
        <v>1087189.7850000001</v>
      </c>
      <c r="D36" s="3">
        <f>(B36+C36)*Assumptions!B4</f>
        <v>5205881.9957499998</v>
      </c>
      <c r="E36" s="3">
        <v>0</v>
      </c>
      <c r="F36" s="3">
        <f t="shared" si="0"/>
        <v>10411763.9915</v>
      </c>
      <c r="G36" s="3">
        <f>F36*(1+Assumptions!B5+Assumptions!B6+Assumptions!B7)</f>
        <v>11452940.39065</v>
      </c>
      <c r="H36" s="3">
        <f>G36*(1+Assumptions!B8+Assumptions!B9)</f>
        <v>13170881.449247502</v>
      </c>
      <c r="I36" s="3">
        <f t="shared" si="1"/>
        <v>1097573.4541039586</v>
      </c>
      <c r="J36" s="3">
        <f t="shared" si="2"/>
        <v>6585440.7246237509</v>
      </c>
      <c r="K36" s="16">
        <f t="shared" si="3"/>
        <v>13170881.449247502</v>
      </c>
    </row>
    <row r="37" spans="1:11" x14ac:dyDescent="0.35">
      <c r="A37" s="13" t="s">
        <v>42</v>
      </c>
      <c r="B37" s="14">
        <f>SUM('Livestock Count'!B37:F37)</f>
        <v>37481419</v>
      </c>
      <c r="C37" s="17">
        <f>B37*Assumptions!B2*Assumptions!B3</f>
        <v>9276651.2025000025</v>
      </c>
      <c r="D37" s="17">
        <f>(B37+C37)*Assumptions!B4</f>
        <v>44420166.692374997</v>
      </c>
      <c r="E37" s="17">
        <v>0</v>
      </c>
      <c r="F37" s="17">
        <f t="shared" si="0"/>
        <v>88840333.384749994</v>
      </c>
      <c r="G37" s="17">
        <f>F37*(1+Assumptions!B5+Assumptions!B6+Assumptions!B7)</f>
        <v>97724366.723224998</v>
      </c>
      <c r="H37" s="17">
        <f>G37*(1+Assumptions!B8+Assumptions!B9)</f>
        <v>112383021.73170877</v>
      </c>
      <c r="I37" s="17">
        <f t="shared" si="1"/>
        <v>9365251.8109757304</v>
      </c>
      <c r="J37" s="17">
        <f t="shared" si="2"/>
        <v>56191510.865854383</v>
      </c>
      <c r="K37" s="18">
        <f t="shared" si="3"/>
        <v>112383021.73170877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zoomScale="80" zoomScaleNormal="80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25.453125" bestFit="1" customWidth="1"/>
    <col min="2" max="3" width="14.26953125" customWidth="1"/>
    <col min="4" max="4" width="16.81640625" customWidth="1"/>
    <col min="5" max="11" width="14.26953125" customWidth="1"/>
  </cols>
  <sheetData>
    <row r="1" spans="1:11" ht="29" x14ac:dyDescent="0.35">
      <c r="A1" s="24" t="s">
        <v>0</v>
      </c>
      <c r="B1" s="25" t="s">
        <v>100</v>
      </c>
      <c r="C1" s="25" t="s">
        <v>74</v>
      </c>
      <c r="D1" s="25" t="s">
        <v>75</v>
      </c>
      <c r="E1" s="25" t="s">
        <v>101</v>
      </c>
      <c r="F1" s="25" t="s">
        <v>77</v>
      </c>
      <c r="G1" s="25" t="s">
        <v>78</v>
      </c>
      <c r="H1" s="25" t="s">
        <v>79</v>
      </c>
      <c r="I1" s="25" t="s">
        <v>80</v>
      </c>
      <c r="J1" s="25" t="s">
        <v>81</v>
      </c>
      <c r="K1" s="26" t="s">
        <v>82</v>
      </c>
    </row>
    <row r="2" spans="1:11" x14ac:dyDescent="0.35">
      <c r="A2" s="27" t="s">
        <v>7</v>
      </c>
      <c r="B2" s="6">
        <f>SUM('Livestock Count'!B2:C2)</f>
        <v>40138</v>
      </c>
      <c r="C2" s="7">
        <f>B2*Assumptions!B2*Assumptions!B3</f>
        <v>9934.1550000000007</v>
      </c>
      <c r="D2" s="7">
        <f>(B2+C2)*Assumptions!B4</f>
        <v>47568.547249999996</v>
      </c>
      <c r="E2" s="7">
        <v>0</v>
      </c>
      <c r="F2" s="7">
        <f t="shared" ref="F2:F37" si="0">(D2-E2)*1</f>
        <v>47568.547249999996</v>
      </c>
      <c r="G2" s="7">
        <f>F2*(1+Assumptions!B5+Assumptions!B6+Assumptions!B7)</f>
        <v>52325.401975000001</v>
      </c>
      <c r="H2" s="7">
        <f>G2*(1+Assumptions!B8+Assumptions!B9)</f>
        <v>60174.212271250006</v>
      </c>
      <c r="I2" s="7">
        <f t="shared" ref="I2:I37" si="1">H2/12</f>
        <v>5014.5176892708341</v>
      </c>
      <c r="J2" s="7">
        <f t="shared" ref="J2:J37" si="2">H2/2</f>
        <v>30087.106135625003</v>
      </c>
      <c r="K2" s="28">
        <f t="shared" ref="K2:K37" si="3">H2</f>
        <v>60174.212271250006</v>
      </c>
    </row>
    <row r="3" spans="1:11" x14ac:dyDescent="0.35">
      <c r="A3" s="27" t="s">
        <v>8</v>
      </c>
      <c r="B3" s="6">
        <f>SUM('Livestock Count'!B3:C3)</f>
        <v>10819586</v>
      </c>
      <c r="C3" s="7">
        <f>B3*Assumptions!B2*Assumptions!B3</f>
        <v>2677847.5350000006</v>
      </c>
      <c r="D3" s="7">
        <f>(B3+C3)*Assumptions!B4</f>
        <v>12822561.85825</v>
      </c>
      <c r="E3" s="7">
        <v>0</v>
      </c>
      <c r="F3" s="7">
        <f t="shared" si="0"/>
        <v>12822561.85825</v>
      </c>
      <c r="G3" s="7">
        <f>F3*(1+Assumptions!B5+Assumptions!B6+Assumptions!B7)</f>
        <v>14104818.044075001</v>
      </c>
      <c r="H3" s="7">
        <f>G3*(1+Assumptions!B8+Assumptions!B9)</f>
        <v>16220540.750686252</v>
      </c>
      <c r="I3" s="7">
        <f t="shared" si="1"/>
        <v>1351711.7292238544</v>
      </c>
      <c r="J3" s="7">
        <f t="shared" si="2"/>
        <v>8110270.3753431262</v>
      </c>
      <c r="K3" s="28">
        <f t="shared" si="3"/>
        <v>16220540.750686252</v>
      </c>
    </row>
    <row r="4" spans="1:11" x14ac:dyDescent="0.35">
      <c r="A4" s="27" t="s">
        <v>9</v>
      </c>
      <c r="B4" s="6">
        <f>SUM('Livestock Count'!B4:C4)</f>
        <v>345600</v>
      </c>
      <c r="C4" s="7">
        <f>B4*Assumptions!B2*Assumptions!B3</f>
        <v>85536.000000000015</v>
      </c>
      <c r="D4" s="7">
        <f>(B4+C4)*Assumptions!B4</f>
        <v>409579.19999999995</v>
      </c>
      <c r="E4" s="7">
        <v>0</v>
      </c>
      <c r="F4" s="7">
        <f t="shared" si="0"/>
        <v>409579.19999999995</v>
      </c>
      <c r="G4" s="7">
        <f>F4*(1+Assumptions!B5+Assumptions!B6+Assumptions!B7)</f>
        <v>450537.12</v>
      </c>
      <c r="H4" s="7">
        <f>G4*(1+Assumptions!B8+Assumptions!B9)</f>
        <v>518117.68800000008</v>
      </c>
      <c r="I4" s="7">
        <f t="shared" si="1"/>
        <v>43176.474000000009</v>
      </c>
      <c r="J4" s="7">
        <f t="shared" si="2"/>
        <v>259058.84400000004</v>
      </c>
      <c r="K4" s="28">
        <f t="shared" si="3"/>
        <v>518117.68800000008</v>
      </c>
    </row>
    <row r="5" spans="1:11" x14ac:dyDescent="0.35">
      <c r="A5" s="27" t="s">
        <v>10</v>
      </c>
      <c r="B5" s="6">
        <f>SUM('Livestock Count'!B5:C5)</f>
        <v>11330954</v>
      </c>
      <c r="C5" s="7">
        <f>B5*Assumptions!B2*Assumptions!B3</f>
        <v>2804411.1150000002</v>
      </c>
      <c r="D5" s="7">
        <f>(B5+C5)*Assumptions!B4</f>
        <v>13428596.85925</v>
      </c>
      <c r="E5" s="7">
        <v>0</v>
      </c>
      <c r="F5" s="7">
        <f t="shared" si="0"/>
        <v>13428596.85925</v>
      </c>
      <c r="G5" s="7">
        <f>F5*(1+Assumptions!B5+Assumptions!B6+Assumptions!B7)</f>
        <v>14771456.545175001</v>
      </c>
      <c r="H5" s="7">
        <f>G5*(1+Assumptions!B8+Assumptions!B9)</f>
        <v>16987175.026951253</v>
      </c>
      <c r="I5" s="7">
        <f t="shared" si="1"/>
        <v>1415597.9189126045</v>
      </c>
      <c r="J5" s="7">
        <f t="shared" si="2"/>
        <v>8493587.5134756267</v>
      </c>
      <c r="K5" s="28">
        <f t="shared" si="3"/>
        <v>16987175.026951253</v>
      </c>
    </row>
    <row r="6" spans="1:11" x14ac:dyDescent="0.35">
      <c r="A6" s="27" t="s">
        <v>11</v>
      </c>
      <c r="B6" s="6">
        <f>SUM('Livestock Count'!B6:C6)</f>
        <v>23117774</v>
      </c>
      <c r="C6" s="7">
        <f>B6*Assumptions!B2*Assumptions!B3</f>
        <v>5721649.0650000004</v>
      </c>
      <c r="D6" s="7">
        <f>(B6+C6)*Assumptions!B4</f>
        <v>27397451.91175</v>
      </c>
      <c r="E6" s="7">
        <v>0</v>
      </c>
      <c r="F6" s="7">
        <f t="shared" si="0"/>
        <v>27397451.91175</v>
      </c>
      <c r="G6" s="7">
        <f>F6*(1+Assumptions!B5+Assumptions!B6+Assumptions!B7)</f>
        <v>30137197.102925003</v>
      </c>
      <c r="H6" s="7">
        <f>G6*(1+Assumptions!B8+Assumptions!B9)</f>
        <v>34657776.668363757</v>
      </c>
      <c r="I6" s="7">
        <f t="shared" si="1"/>
        <v>2888148.0556969796</v>
      </c>
      <c r="J6" s="7">
        <f t="shared" si="2"/>
        <v>17328888.334181879</v>
      </c>
      <c r="K6" s="28">
        <f t="shared" si="3"/>
        <v>34657776.668363757</v>
      </c>
    </row>
    <row r="7" spans="1:11" x14ac:dyDescent="0.35">
      <c r="A7" s="27" t="s">
        <v>12</v>
      </c>
      <c r="B7" s="6">
        <f>SUM('Livestock Count'!B7:C7)</f>
        <v>25617</v>
      </c>
      <c r="C7" s="7">
        <f>B7*Assumptions!B2*Assumptions!B3</f>
        <v>6340.2075000000004</v>
      </c>
      <c r="D7" s="7">
        <f>(B7+C7)*Assumptions!B4</f>
        <v>30359.347125</v>
      </c>
      <c r="E7" s="7">
        <v>0</v>
      </c>
      <c r="F7" s="7">
        <f t="shared" si="0"/>
        <v>30359.347125</v>
      </c>
      <c r="G7" s="7">
        <f>F7*(1+Assumptions!B5+Assumptions!B6+Assumptions!B7)</f>
        <v>33395.281837500006</v>
      </c>
      <c r="H7" s="7">
        <f>G7*(1+Assumptions!B8+Assumptions!B9)</f>
        <v>38404.574113125011</v>
      </c>
      <c r="I7" s="7">
        <f t="shared" si="1"/>
        <v>3200.381176093751</v>
      </c>
      <c r="J7" s="7">
        <f t="shared" si="2"/>
        <v>19202.287056562505</v>
      </c>
      <c r="K7" s="28">
        <f t="shared" si="3"/>
        <v>38404.574113125011</v>
      </c>
    </row>
    <row r="8" spans="1:11" x14ac:dyDescent="0.35">
      <c r="A8" s="27" t="s">
        <v>13</v>
      </c>
      <c r="B8" s="6">
        <f>SUM('Livestock Count'!B8:C8)</f>
        <v>11158676</v>
      </c>
      <c r="C8" s="7">
        <f>B8*Assumptions!B2*Assumptions!B3</f>
        <v>2761772.3100000005</v>
      </c>
      <c r="D8" s="7">
        <f>(B8+C8)*Assumptions!B4</f>
        <v>13224425.8945</v>
      </c>
      <c r="E8" s="7">
        <v>0</v>
      </c>
      <c r="F8" s="7">
        <f t="shared" si="0"/>
        <v>13224425.8945</v>
      </c>
      <c r="G8" s="7">
        <f>F8*(1+Assumptions!B5+Assumptions!B6+Assumptions!B7)</f>
        <v>14546868.483950002</v>
      </c>
      <c r="H8" s="7">
        <f>G8*(1+Assumptions!B8+Assumptions!B9)</f>
        <v>16728898.756542504</v>
      </c>
      <c r="I8" s="7">
        <f t="shared" si="1"/>
        <v>1394074.8963785421</v>
      </c>
      <c r="J8" s="7">
        <f t="shared" si="2"/>
        <v>8364449.3782712519</v>
      </c>
      <c r="K8" s="28">
        <f t="shared" si="3"/>
        <v>16728898.756542504</v>
      </c>
    </row>
    <row r="9" spans="1:11" x14ac:dyDescent="0.35">
      <c r="A9" s="27" t="s">
        <v>14</v>
      </c>
      <c r="B9" s="6">
        <f>SUM('Livestock Count'!B9:C9)</f>
        <v>40733</v>
      </c>
      <c r="C9" s="7">
        <f>B9*Assumptions!B2*Assumptions!B3</f>
        <v>10081.417500000001</v>
      </c>
      <c r="D9" s="7">
        <f>(B9+C9)*Assumptions!B4</f>
        <v>48273.696625000004</v>
      </c>
      <c r="E9" s="7">
        <v>0</v>
      </c>
      <c r="F9" s="7">
        <f t="shared" si="0"/>
        <v>48273.696625000004</v>
      </c>
      <c r="G9" s="7">
        <f>F9*(1+Assumptions!B5+Assumptions!B6+Assumptions!B7)</f>
        <v>53101.066287500005</v>
      </c>
      <c r="H9" s="7">
        <f>G9*(1+Assumptions!B8+Assumptions!B9)</f>
        <v>61066.226230625012</v>
      </c>
      <c r="I9" s="7">
        <f t="shared" si="1"/>
        <v>5088.8521858854174</v>
      </c>
      <c r="J9" s="7">
        <f t="shared" si="2"/>
        <v>30533.113115312506</v>
      </c>
      <c r="K9" s="28">
        <f t="shared" si="3"/>
        <v>61066.226230625012</v>
      </c>
    </row>
    <row r="10" spans="1:11" x14ac:dyDescent="0.35">
      <c r="A10" s="27" t="s">
        <v>15</v>
      </c>
      <c r="B10" s="6">
        <f>SUM('Livestock Count'!B10:C10)</f>
        <v>2214</v>
      </c>
      <c r="C10" s="7">
        <f>B10*Assumptions!B2*Assumptions!B3</f>
        <v>547.96500000000003</v>
      </c>
      <c r="D10" s="7">
        <f>(B10+C10)*Assumptions!B4</f>
        <v>2623.8667500000001</v>
      </c>
      <c r="E10" s="7">
        <v>0</v>
      </c>
      <c r="F10" s="7">
        <f t="shared" si="0"/>
        <v>2623.8667500000001</v>
      </c>
      <c r="G10" s="7">
        <f>F10*(1+Assumptions!B5+Assumptions!B6+Assumptions!B7)</f>
        <v>2886.2534250000003</v>
      </c>
      <c r="H10" s="7">
        <f>G10*(1+Assumptions!B8+Assumptions!B9)</f>
        <v>3319.1914387500005</v>
      </c>
      <c r="I10" s="7">
        <f t="shared" si="1"/>
        <v>276.59928656250003</v>
      </c>
      <c r="J10" s="7">
        <f t="shared" si="2"/>
        <v>1659.5957193750003</v>
      </c>
      <c r="K10" s="28">
        <f t="shared" si="3"/>
        <v>3319.1914387500005</v>
      </c>
    </row>
    <row r="11" spans="1:11" x14ac:dyDescent="0.35">
      <c r="A11" s="27" t="s">
        <v>16</v>
      </c>
      <c r="B11" s="6">
        <f>SUM('Livestock Count'!B11:C11)</f>
        <v>248575</v>
      </c>
      <c r="C11" s="7">
        <f>B11*Assumptions!B2*Assumptions!B3</f>
        <v>61522.3125</v>
      </c>
      <c r="D11" s="7">
        <f>(B11+C11)*Assumptions!B4</f>
        <v>294592.44687499997</v>
      </c>
      <c r="E11" s="7">
        <v>0</v>
      </c>
      <c r="F11" s="7">
        <f t="shared" si="0"/>
        <v>294592.44687499997</v>
      </c>
      <c r="G11" s="7">
        <f>F11*(1+Assumptions!B5+Assumptions!B6+Assumptions!B7)</f>
        <v>324051.69156249997</v>
      </c>
      <c r="H11" s="7">
        <f>G11*(1+Assumptions!B8+Assumptions!B9)</f>
        <v>372659.44529687503</v>
      </c>
      <c r="I11" s="7">
        <f t="shared" si="1"/>
        <v>31054.953774739584</v>
      </c>
      <c r="J11" s="7">
        <f t="shared" si="2"/>
        <v>186329.72264843751</v>
      </c>
      <c r="K11" s="28">
        <f t="shared" si="3"/>
        <v>372659.44529687503</v>
      </c>
    </row>
    <row r="12" spans="1:11" x14ac:dyDescent="0.35">
      <c r="A12" s="27" t="s">
        <v>17</v>
      </c>
      <c r="B12" s="6">
        <f>SUM('Livestock Count'!B12:C12)</f>
        <v>87454</v>
      </c>
      <c r="C12" s="7">
        <f>B12*Assumptions!B2*Assumptions!B3</f>
        <v>21644.865000000002</v>
      </c>
      <c r="D12" s="7">
        <f>(B12+C12)*Assumptions!B4</f>
        <v>103643.92174999999</v>
      </c>
      <c r="E12" s="7">
        <v>0</v>
      </c>
      <c r="F12" s="7">
        <f t="shared" si="0"/>
        <v>103643.92174999999</v>
      </c>
      <c r="G12" s="7">
        <f>F12*(1+Assumptions!B5+Assumptions!B6+Assumptions!B7)</f>
        <v>114008.31392500001</v>
      </c>
      <c r="H12" s="7">
        <f>G12*(1+Assumptions!B8+Assumptions!B9)</f>
        <v>131109.56101375003</v>
      </c>
      <c r="I12" s="7">
        <f t="shared" si="1"/>
        <v>10925.796751145836</v>
      </c>
      <c r="J12" s="7">
        <f t="shared" si="2"/>
        <v>65554.780506875017</v>
      </c>
      <c r="K12" s="28">
        <f t="shared" si="3"/>
        <v>131109.56101375003</v>
      </c>
    </row>
    <row r="13" spans="1:11" x14ac:dyDescent="0.35">
      <c r="A13" s="27" t="s">
        <v>18</v>
      </c>
      <c r="B13" s="6">
        <f>SUM('Livestock Count'!B13:C13)</f>
        <v>20176887</v>
      </c>
      <c r="C13" s="7">
        <f>B13*Assumptions!B2*Assumptions!B3</f>
        <v>4993779.5325000007</v>
      </c>
      <c r="D13" s="7">
        <f>(B13+C13)*Assumptions!B4</f>
        <v>23912133.205874998</v>
      </c>
      <c r="E13" s="7">
        <v>0</v>
      </c>
      <c r="F13" s="7">
        <f t="shared" si="0"/>
        <v>23912133.205874998</v>
      </c>
      <c r="G13" s="7">
        <f>F13*(1+Assumptions!B5+Assumptions!B6+Assumptions!B7)</f>
        <v>26303346.526462499</v>
      </c>
      <c r="H13" s="7">
        <f>G13*(1+Assumptions!B8+Assumptions!B9)</f>
        <v>30248848.505431876</v>
      </c>
      <c r="I13" s="7">
        <f t="shared" si="1"/>
        <v>2520737.3754526563</v>
      </c>
      <c r="J13" s="7">
        <f t="shared" si="2"/>
        <v>15124424.252715938</v>
      </c>
      <c r="K13" s="28">
        <f t="shared" si="3"/>
        <v>30248848.505431876</v>
      </c>
    </row>
    <row r="14" spans="1:11" x14ac:dyDescent="0.35">
      <c r="A14" s="27" t="s">
        <v>19</v>
      </c>
      <c r="B14" s="6">
        <f>SUM('Livestock Count'!B14:C14)</f>
        <v>6296705</v>
      </c>
      <c r="C14" s="7">
        <f>B14*Assumptions!B2*Assumptions!B3</f>
        <v>1558434.4875000003</v>
      </c>
      <c r="D14" s="7">
        <f>(B14+C14)*Assumptions!B4</f>
        <v>7462382.5131250005</v>
      </c>
      <c r="E14" s="7">
        <v>0</v>
      </c>
      <c r="F14" s="7">
        <f t="shared" si="0"/>
        <v>7462382.5131250005</v>
      </c>
      <c r="G14" s="7">
        <f>F14*(1+Assumptions!B5+Assumptions!B6+Assumptions!B7)</f>
        <v>8208620.7644375013</v>
      </c>
      <c r="H14" s="7">
        <f>G14*(1+Assumptions!B8+Assumptions!B9)</f>
        <v>9439913.8791031279</v>
      </c>
      <c r="I14" s="7">
        <f t="shared" si="1"/>
        <v>786659.48992526066</v>
      </c>
      <c r="J14" s="7">
        <f t="shared" si="2"/>
        <v>4719956.9395515639</v>
      </c>
      <c r="K14" s="28">
        <f t="shared" si="3"/>
        <v>9439913.8791031279</v>
      </c>
    </row>
    <row r="15" spans="1:11" x14ac:dyDescent="0.35">
      <c r="A15" s="27" t="s">
        <v>20</v>
      </c>
      <c r="B15" s="6">
        <f>SUM('Livestock Count'!B15:C15)</f>
        <v>2474582</v>
      </c>
      <c r="C15" s="7">
        <f>B15*Assumptions!B2*Assumptions!B3</f>
        <v>612459.04500000004</v>
      </c>
      <c r="D15" s="7">
        <f>(B15+C15)*Assumptions!B4</f>
        <v>2932688.9927499997</v>
      </c>
      <c r="E15" s="7">
        <v>0</v>
      </c>
      <c r="F15" s="7">
        <f t="shared" si="0"/>
        <v>2932688.9927499997</v>
      </c>
      <c r="G15" s="7">
        <f>F15*(1+Assumptions!B5+Assumptions!B6+Assumptions!B7)</f>
        <v>3225957.892025</v>
      </c>
      <c r="H15" s="7">
        <f>G15*(1+Assumptions!B8+Assumptions!B9)</f>
        <v>3709851.5758287502</v>
      </c>
      <c r="I15" s="7">
        <f t="shared" si="1"/>
        <v>309154.29798572918</v>
      </c>
      <c r="J15" s="7">
        <f t="shared" si="2"/>
        <v>1854925.7879143751</v>
      </c>
      <c r="K15" s="28">
        <f t="shared" si="3"/>
        <v>3709851.5758287502</v>
      </c>
    </row>
    <row r="16" spans="1:11" x14ac:dyDescent="0.35">
      <c r="A16" s="27" t="s">
        <v>21</v>
      </c>
      <c r="B16" s="6">
        <f>SUM('Livestock Count'!B16:C16)</f>
        <v>3230069</v>
      </c>
      <c r="C16" s="7">
        <f>B16*Assumptions!B2*Assumptions!B3</f>
        <v>799442.07750000013</v>
      </c>
      <c r="D16" s="7">
        <f>(B16+C16)*Assumptions!B4</f>
        <v>3828035.5236249999</v>
      </c>
      <c r="E16" s="7">
        <v>0</v>
      </c>
      <c r="F16" s="7">
        <f t="shared" si="0"/>
        <v>3828035.5236249999</v>
      </c>
      <c r="G16" s="7">
        <f>F16*(1+Assumptions!B5+Assumptions!B6+Assumptions!B7)</f>
        <v>4210839.0759875001</v>
      </c>
      <c r="H16" s="7">
        <f>G16*(1+Assumptions!B8+Assumptions!B9)</f>
        <v>4842464.9373856261</v>
      </c>
      <c r="I16" s="7">
        <f t="shared" si="1"/>
        <v>403538.74478213553</v>
      </c>
      <c r="J16" s="7">
        <f t="shared" si="2"/>
        <v>2421232.4686928131</v>
      </c>
      <c r="K16" s="28">
        <f t="shared" si="3"/>
        <v>4842464.9373856261</v>
      </c>
    </row>
    <row r="17" spans="1:11" x14ac:dyDescent="0.35">
      <c r="A17" s="27" t="s">
        <v>22</v>
      </c>
      <c r="B17" s="6">
        <f>SUM('Livestock Count'!B17:C17)</f>
        <v>12573365</v>
      </c>
      <c r="C17" s="7">
        <f>B17*Assumptions!B2*Assumptions!B3</f>
        <v>3111907.8375000004</v>
      </c>
      <c r="D17" s="7">
        <f>(B17+C17)*Assumptions!B4</f>
        <v>14901009.195625</v>
      </c>
      <c r="E17" s="7">
        <v>0</v>
      </c>
      <c r="F17" s="7">
        <f t="shared" si="0"/>
        <v>14901009.195625</v>
      </c>
      <c r="G17" s="7">
        <f>F17*(1+Assumptions!B5+Assumptions!B6+Assumptions!B7)</f>
        <v>16391110.115187502</v>
      </c>
      <c r="H17" s="7">
        <f>G17*(1+Assumptions!B8+Assumptions!B9)</f>
        <v>18849776.632465631</v>
      </c>
      <c r="I17" s="7">
        <f t="shared" si="1"/>
        <v>1570814.7193721358</v>
      </c>
      <c r="J17" s="7">
        <f t="shared" si="2"/>
        <v>9424888.3162328154</v>
      </c>
      <c r="K17" s="28">
        <f t="shared" si="3"/>
        <v>18849776.632465631</v>
      </c>
    </row>
    <row r="18" spans="1:11" x14ac:dyDescent="0.35">
      <c r="A18" s="27" t="s">
        <v>23</v>
      </c>
      <c r="B18" s="6">
        <f>SUM('Livestock Count'!B18:C18)</f>
        <v>11453564</v>
      </c>
      <c r="C18" s="7">
        <f>B18*Assumptions!B2*Assumptions!B3</f>
        <v>2834757.0900000003</v>
      </c>
      <c r="D18" s="7">
        <f>(B18+C18)*Assumptions!B4</f>
        <v>13573905.035499999</v>
      </c>
      <c r="E18" s="7">
        <v>0</v>
      </c>
      <c r="F18" s="7">
        <f t="shared" si="0"/>
        <v>13573905.035499999</v>
      </c>
      <c r="G18" s="7">
        <f>F18*(1+Assumptions!B5+Assumptions!B6+Assumptions!B7)</f>
        <v>14931295.53905</v>
      </c>
      <c r="H18" s="7">
        <f>G18*(1+Assumptions!B8+Assumptions!B9)</f>
        <v>17170989.869907502</v>
      </c>
      <c r="I18" s="7">
        <f t="shared" si="1"/>
        <v>1430915.8224922919</v>
      </c>
      <c r="J18" s="7">
        <f t="shared" si="2"/>
        <v>8585494.934953751</v>
      </c>
      <c r="K18" s="28">
        <f t="shared" si="3"/>
        <v>17170989.869907502</v>
      </c>
    </row>
    <row r="19" spans="1:11" x14ac:dyDescent="0.35">
      <c r="A19" s="27" t="s">
        <v>24</v>
      </c>
      <c r="B19" s="6">
        <f>SUM('Livestock Count'!B19:C19)</f>
        <v>1443500</v>
      </c>
      <c r="C19" s="7">
        <f>B19*Assumptions!B2*Assumptions!B3</f>
        <v>357266.25000000006</v>
      </c>
      <c r="D19" s="7">
        <f>(B19+C19)*Assumptions!B4</f>
        <v>1710727.9375</v>
      </c>
      <c r="E19" s="7">
        <v>0</v>
      </c>
      <c r="F19" s="7">
        <f t="shared" si="0"/>
        <v>1710727.9375</v>
      </c>
      <c r="G19" s="7">
        <f>F19*(1+Assumptions!B5+Assumptions!B6+Assumptions!B7)</f>
        <v>1881800.7312500002</v>
      </c>
      <c r="H19" s="7">
        <f>G19*(1+Assumptions!B8+Assumptions!B9)</f>
        <v>2164070.8409375004</v>
      </c>
      <c r="I19" s="7">
        <f t="shared" si="1"/>
        <v>180339.23674479171</v>
      </c>
      <c r="J19" s="7">
        <f t="shared" si="2"/>
        <v>1082035.4204687502</v>
      </c>
      <c r="K19" s="28">
        <f t="shared" si="3"/>
        <v>2164070.8409375004</v>
      </c>
    </row>
    <row r="20" spans="1:11" x14ac:dyDescent="0.35">
      <c r="A20" s="27" t="s">
        <v>25</v>
      </c>
      <c r="B20" s="6">
        <f>SUM('Livestock Count'!B20:C20)</f>
        <v>2509</v>
      </c>
      <c r="C20" s="7">
        <f>B20*Assumptions!B2*Assumptions!B3</f>
        <v>620.97750000000008</v>
      </c>
      <c r="D20" s="7">
        <f>(B20+C20)*Assumptions!B4</f>
        <v>2973.4786249999997</v>
      </c>
      <c r="E20" s="7">
        <v>0</v>
      </c>
      <c r="F20" s="7">
        <f t="shared" si="0"/>
        <v>2973.4786249999997</v>
      </c>
      <c r="G20" s="7">
        <f>F20*(1+Assumptions!B5+Assumptions!B6+Assumptions!B7)</f>
        <v>3270.8264875</v>
      </c>
      <c r="H20" s="7">
        <f>G20*(1+Assumptions!B8+Assumptions!B9)</f>
        <v>3761.4504606250002</v>
      </c>
      <c r="I20" s="7">
        <f t="shared" si="1"/>
        <v>313.45420505208335</v>
      </c>
      <c r="J20" s="7">
        <f t="shared" si="2"/>
        <v>1880.7252303125001</v>
      </c>
      <c r="K20" s="28">
        <f t="shared" si="3"/>
        <v>3761.4504606250002</v>
      </c>
    </row>
    <row r="21" spans="1:11" x14ac:dyDescent="0.35">
      <c r="A21" s="27" t="s">
        <v>26</v>
      </c>
      <c r="B21" s="6">
        <f>SUM('Livestock Count'!B21:C21)</f>
        <v>29057959</v>
      </c>
      <c r="C21" s="7">
        <f>B21*Assumptions!B2*Assumptions!B3</f>
        <v>7191844.852500001</v>
      </c>
      <c r="D21" s="7">
        <f>(B21+C21)*Assumptions!B4</f>
        <v>34437313.659874998</v>
      </c>
      <c r="E21" s="7">
        <v>0</v>
      </c>
      <c r="F21" s="7">
        <f t="shared" si="0"/>
        <v>34437313.659874998</v>
      </c>
      <c r="G21" s="7">
        <f>F21*(1+Assumptions!B5+Assumptions!B6+Assumptions!B7)</f>
        <v>37881045.0258625</v>
      </c>
      <c r="H21" s="7">
        <f>G21*(1+Assumptions!B8+Assumptions!B9)</f>
        <v>43563201.779741883</v>
      </c>
      <c r="I21" s="7">
        <f t="shared" si="1"/>
        <v>3630266.8149784901</v>
      </c>
      <c r="J21" s="7">
        <f t="shared" si="2"/>
        <v>21781600.889870942</v>
      </c>
      <c r="K21" s="28">
        <f t="shared" si="3"/>
        <v>43563201.779741883</v>
      </c>
    </row>
    <row r="22" spans="1:11" x14ac:dyDescent="0.35">
      <c r="A22" s="27" t="s">
        <v>27</v>
      </c>
      <c r="B22" s="6">
        <f>SUM('Livestock Count'!B22:C22)</f>
        <v>19595996</v>
      </c>
      <c r="C22" s="7">
        <f>B22*Assumptions!B2*Assumptions!B3</f>
        <v>4850009.0100000007</v>
      </c>
      <c r="D22" s="7">
        <f>(B22+C22)*Assumptions!B4</f>
        <v>23223704.759500001</v>
      </c>
      <c r="E22" s="7">
        <v>0</v>
      </c>
      <c r="F22" s="7">
        <f t="shared" si="0"/>
        <v>23223704.759500001</v>
      </c>
      <c r="G22" s="7">
        <f>F22*(1+Assumptions!B5+Assumptions!B6+Assumptions!B7)</f>
        <v>25546075.235450003</v>
      </c>
      <c r="H22" s="7">
        <f>G22*(1+Assumptions!B8+Assumptions!B9)</f>
        <v>29377986.520767506</v>
      </c>
      <c r="I22" s="7">
        <f t="shared" si="1"/>
        <v>2448165.543397292</v>
      </c>
      <c r="J22" s="7">
        <f t="shared" si="2"/>
        <v>14688993.260383753</v>
      </c>
      <c r="K22" s="28">
        <f t="shared" si="3"/>
        <v>29377986.520767506</v>
      </c>
    </row>
    <row r="23" spans="1:11" x14ac:dyDescent="0.35">
      <c r="A23" s="27" t="s">
        <v>28</v>
      </c>
      <c r="B23" s="6">
        <f>SUM('Livestock Count'!B23:C23)</f>
        <v>260702</v>
      </c>
      <c r="C23" s="7">
        <f>B23*Assumptions!B2*Assumptions!B3</f>
        <v>64523.745000000003</v>
      </c>
      <c r="D23" s="7">
        <f>(B23+C23)*Assumptions!B4</f>
        <v>308964.45775</v>
      </c>
      <c r="E23" s="7">
        <v>0</v>
      </c>
      <c r="F23" s="7">
        <f t="shared" si="0"/>
        <v>308964.45775</v>
      </c>
      <c r="G23" s="7">
        <f>F23*(1+Assumptions!B5+Assumptions!B6+Assumptions!B7)</f>
        <v>339860.90352500003</v>
      </c>
      <c r="H23" s="7">
        <f>G23*(1+Assumptions!B8+Assumptions!B9)</f>
        <v>390840.03905375011</v>
      </c>
      <c r="I23" s="7">
        <f t="shared" si="1"/>
        <v>32570.003254479176</v>
      </c>
      <c r="J23" s="7">
        <f t="shared" si="2"/>
        <v>195420.01952687505</v>
      </c>
      <c r="K23" s="28">
        <f t="shared" si="3"/>
        <v>390840.03905375011</v>
      </c>
    </row>
    <row r="24" spans="1:11" x14ac:dyDescent="0.35">
      <c r="A24" s="27" t="s">
        <v>29</v>
      </c>
      <c r="B24" s="6">
        <f>SUM('Livestock Count'!B24:C24)</f>
        <v>919284</v>
      </c>
      <c r="C24" s="7">
        <f>B24*Assumptions!B2*Assumptions!B3</f>
        <v>227522.79000000004</v>
      </c>
      <c r="D24" s="7">
        <f>(B24+C24)*Assumptions!B4</f>
        <v>1089466.4505</v>
      </c>
      <c r="E24" s="7">
        <v>0</v>
      </c>
      <c r="F24" s="7">
        <f t="shared" si="0"/>
        <v>1089466.4505</v>
      </c>
      <c r="G24" s="7">
        <f>F24*(1+Assumptions!B5+Assumptions!B6+Assumptions!B7)</f>
        <v>1198413.0955500002</v>
      </c>
      <c r="H24" s="7">
        <f>G24*(1+Assumptions!B8+Assumptions!B9)</f>
        <v>1378175.0598825004</v>
      </c>
      <c r="I24" s="7">
        <f t="shared" si="1"/>
        <v>114847.92165687504</v>
      </c>
      <c r="J24" s="7">
        <f t="shared" si="2"/>
        <v>689087.52994125022</v>
      </c>
      <c r="K24" s="28">
        <f t="shared" si="3"/>
        <v>1378175.0598825004</v>
      </c>
    </row>
    <row r="25" spans="1:11" x14ac:dyDescent="0.35">
      <c r="A25" s="27" t="s">
        <v>30</v>
      </c>
      <c r="B25" s="6">
        <f>SUM('Livestock Count'!B25:C25)</f>
        <v>47810</v>
      </c>
      <c r="C25" s="7">
        <f>B25*Assumptions!B2*Assumptions!B3</f>
        <v>11832.975000000002</v>
      </c>
      <c r="D25" s="7">
        <f>(B25+C25)*Assumptions!B4</f>
        <v>56660.826250000006</v>
      </c>
      <c r="E25" s="7">
        <v>0</v>
      </c>
      <c r="F25" s="7">
        <f t="shared" si="0"/>
        <v>56660.826250000006</v>
      </c>
      <c r="G25" s="7">
        <f>F25*(1+Assumptions!B5+Assumptions!B6+Assumptions!B7)</f>
        <v>62326.908875000008</v>
      </c>
      <c r="H25" s="7">
        <f>G25*(1+Assumptions!B8+Assumptions!B9)</f>
        <v>71675.94520625002</v>
      </c>
      <c r="I25" s="7">
        <f t="shared" si="1"/>
        <v>5972.9954338541684</v>
      </c>
      <c r="J25" s="7">
        <f t="shared" si="2"/>
        <v>35837.97260312501</v>
      </c>
      <c r="K25" s="28">
        <f t="shared" si="3"/>
        <v>71675.94520625002</v>
      </c>
    </row>
    <row r="26" spans="1:11" x14ac:dyDescent="0.35">
      <c r="A26" s="27" t="s">
        <v>31</v>
      </c>
      <c r="B26" s="6">
        <f>SUM('Livestock Count'!B26:C26)</f>
        <v>93950</v>
      </c>
      <c r="C26" s="7">
        <f>B26*Assumptions!B2*Assumptions!B3</f>
        <v>23252.625000000004</v>
      </c>
      <c r="D26" s="7">
        <f>(B26+C26)*Assumptions!B4</f>
        <v>111342.49374999999</v>
      </c>
      <c r="E26" s="7">
        <v>0</v>
      </c>
      <c r="F26" s="7">
        <f t="shared" si="0"/>
        <v>111342.49374999999</v>
      </c>
      <c r="G26" s="7">
        <f>F26*(1+Assumptions!B5+Assumptions!B6+Assumptions!B7)</f>
        <v>122476.74312500001</v>
      </c>
      <c r="H26" s="7">
        <f>G26*(1+Assumptions!B8+Assumptions!B9)</f>
        <v>140848.25459375003</v>
      </c>
      <c r="I26" s="7">
        <f t="shared" si="1"/>
        <v>11737.354549479169</v>
      </c>
      <c r="J26" s="7">
        <f t="shared" si="2"/>
        <v>70424.127296875013</v>
      </c>
      <c r="K26" s="28">
        <f t="shared" si="3"/>
        <v>140848.25459375003</v>
      </c>
    </row>
    <row r="27" spans="1:11" x14ac:dyDescent="0.35">
      <c r="A27" s="27" t="s">
        <v>32</v>
      </c>
      <c r="B27" s="6">
        <f>SUM('Livestock Count'!B27:C27)</f>
        <v>10362294</v>
      </c>
      <c r="C27" s="7">
        <f>B27*Assumptions!B2*Assumptions!B3</f>
        <v>2564667.7650000001</v>
      </c>
      <c r="D27" s="7">
        <f>(B27+C27)*Assumptions!B4</f>
        <v>12280613.676750001</v>
      </c>
      <c r="E27" s="7">
        <v>0</v>
      </c>
      <c r="F27" s="7">
        <f t="shared" si="0"/>
        <v>12280613.676750001</v>
      </c>
      <c r="G27" s="7">
        <f>F27*(1+Assumptions!B5+Assumptions!B6+Assumptions!B7)</f>
        <v>13508675.044425001</v>
      </c>
      <c r="H27" s="7">
        <f>G27*(1+Assumptions!B8+Assumptions!B9)</f>
        <v>15534976.301088754</v>
      </c>
      <c r="I27" s="7">
        <f t="shared" si="1"/>
        <v>1294581.3584240628</v>
      </c>
      <c r="J27" s="7">
        <f t="shared" si="2"/>
        <v>7767488.150544377</v>
      </c>
      <c r="K27" s="28">
        <f t="shared" si="3"/>
        <v>15534976.301088754</v>
      </c>
    </row>
    <row r="28" spans="1:11" x14ac:dyDescent="0.35">
      <c r="A28" s="27" t="s">
        <v>33</v>
      </c>
      <c r="B28" s="6">
        <f>SUM('Livestock Count'!B28:C28)</f>
        <v>74379</v>
      </c>
      <c r="C28" s="7">
        <f>B28*Assumptions!B2*Assumptions!B3</f>
        <v>18408.802500000002</v>
      </c>
      <c r="D28" s="7">
        <f>(B28+C28)*Assumptions!B4</f>
        <v>88148.412375</v>
      </c>
      <c r="E28" s="7">
        <v>0</v>
      </c>
      <c r="F28" s="7">
        <f t="shared" si="0"/>
        <v>88148.412375</v>
      </c>
      <c r="G28" s="7">
        <f>F28*(1+Assumptions!B5+Assumptions!B6+Assumptions!B7)</f>
        <v>96963.253612500004</v>
      </c>
      <c r="H28" s="7">
        <f>G28*(1+Assumptions!B8+Assumptions!B9)</f>
        <v>111507.74165437502</v>
      </c>
      <c r="I28" s="7">
        <f t="shared" si="1"/>
        <v>9292.3118045312513</v>
      </c>
      <c r="J28" s="7">
        <f t="shared" si="2"/>
        <v>55753.870827187508</v>
      </c>
      <c r="K28" s="28">
        <f t="shared" si="3"/>
        <v>111507.74165437502</v>
      </c>
    </row>
    <row r="29" spans="1:11" x14ac:dyDescent="0.35">
      <c r="A29" s="27" t="s">
        <v>34</v>
      </c>
      <c r="B29" s="6">
        <f>SUM('Livestock Count'!B29:C29)</f>
        <v>6547407</v>
      </c>
      <c r="C29" s="7">
        <f>B29*Assumptions!B2*Assumptions!B3</f>
        <v>1620483.2325000002</v>
      </c>
      <c r="D29" s="7">
        <f>(B29+C29)*Assumptions!B4</f>
        <v>7759495.7208749996</v>
      </c>
      <c r="E29" s="7">
        <v>0</v>
      </c>
      <c r="F29" s="7">
        <f t="shared" si="0"/>
        <v>7759495.7208749996</v>
      </c>
      <c r="G29" s="7">
        <f>F29*(1+Assumptions!B5+Assumptions!B6+Assumptions!B7)</f>
        <v>8535445.2929625008</v>
      </c>
      <c r="H29" s="7">
        <f>G29*(1+Assumptions!B8+Assumptions!B9)</f>
        <v>9815762.0869068764</v>
      </c>
      <c r="I29" s="7">
        <f t="shared" si="1"/>
        <v>817980.17390890641</v>
      </c>
      <c r="J29" s="7">
        <f t="shared" si="2"/>
        <v>4907881.0434534382</v>
      </c>
      <c r="K29" s="28">
        <f t="shared" si="3"/>
        <v>9815762.0869068764</v>
      </c>
    </row>
    <row r="30" spans="1:11" x14ac:dyDescent="0.35">
      <c r="A30" s="27" t="s">
        <v>35</v>
      </c>
      <c r="B30" s="6">
        <f>SUM('Livestock Count'!B30:C30)</f>
        <v>27630946</v>
      </c>
      <c r="C30" s="7">
        <f>B30*Assumptions!B2*Assumptions!B3</f>
        <v>6838659.1350000007</v>
      </c>
      <c r="D30" s="7">
        <f>(B30+C30)*Assumptions!B4</f>
        <v>32746124.878249995</v>
      </c>
      <c r="E30" s="7">
        <v>0</v>
      </c>
      <c r="F30" s="7">
        <f t="shared" si="0"/>
        <v>32746124.878249995</v>
      </c>
      <c r="G30" s="7">
        <f>F30*(1+Assumptions!B5+Assumptions!B6+Assumptions!B7)</f>
        <v>36020737.366074994</v>
      </c>
      <c r="H30" s="7">
        <f>G30*(1+Assumptions!B8+Assumptions!B9)</f>
        <v>41423847.970986247</v>
      </c>
      <c r="I30" s="7">
        <f t="shared" si="1"/>
        <v>3451987.3309155204</v>
      </c>
      <c r="J30" s="7">
        <f t="shared" si="2"/>
        <v>20711923.985493124</v>
      </c>
      <c r="K30" s="28">
        <f t="shared" si="3"/>
        <v>41423847.970986247</v>
      </c>
    </row>
    <row r="31" spans="1:11" x14ac:dyDescent="0.35">
      <c r="A31" s="27" t="s">
        <v>36</v>
      </c>
      <c r="B31" s="6">
        <f>SUM('Livestock Count'!B31:C31)</f>
        <v>149154</v>
      </c>
      <c r="C31" s="7">
        <f>B31*Assumptions!B2*Assumptions!B3</f>
        <v>36915.615000000005</v>
      </c>
      <c r="D31" s="7">
        <f>(B31+C31)*Assumptions!B4</f>
        <v>176766.13424999997</v>
      </c>
      <c r="E31" s="7">
        <v>0</v>
      </c>
      <c r="F31" s="7">
        <f t="shared" si="0"/>
        <v>176766.13424999997</v>
      </c>
      <c r="G31" s="7">
        <f>F31*(1+Assumptions!B5+Assumptions!B6+Assumptions!B7)</f>
        <v>194442.74767499999</v>
      </c>
      <c r="H31" s="7">
        <f>G31*(1+Assumptions!B8+Assumptions!B9)</f>
        <v>223609.15982625002</v>
      </c>
      <c r="I31" s="7">
        <f t="shared" si="1"/>
        <v>18634.096652187502</v>
      </c>
      <c r="J31" s="7">
        <f t="shared" si="2"/>
        <v>111804.57991312501</v>
      </c>
      <c r="K31" s="28">
        <f t="shared" si="3"/>
        <v>223609.15982625002</v>
      </c>
    </row>
    <row r="32" spans="1:11" x14ac:dyDescent="0.35">
      <c r="A32" s="27" t="s">
        <v>37</v>
      </c>
      <c r="B32" s="6">
        <f>SUM('Livestock Count'!B32:C32)</f>
        <v>10037455</v>
      </c>
      <c r="C32" s="7">
        <f>B32*Assumptions!B2*Assumptions!B3</f>
        <v>2484270.1125000003</v>
      </c>
      <c r="D32" s="7">
        <f>(B32+C32)*Assumptions!B4</f>
        <v>11895638.856875001</v>
      </c>
      <c r="E32" s="7">
        <v>0</v>
      </c>
      <c r="F32" s="7">
        <f t="shared" si="0"/>
        <v>11895638.856875001</v>
      </c>
      <c r="G32" s="7">
        <f>F32*(1+Assumptions!B5+Assumptions!B6+Assumptions!B7)</f>
        <v>13085202.742562501</v>
      </c>
      <c r="H32" s="7">
        <f>G32*(1+Assumptions!B8+Assumptions!B9)</f>
        <v>15047983.153946878</v>
      </c>
      <c r="I32" s="7">
        <f t="shared" si="1"/>
        <v>1253998.5961622398</v>
      </c>
      <c r="J32" s="7">
        <f t="shared" si="2"/>
        <v>7523991.5769734392</v>
      </c>
      <c r="K32" s="28">
        <f t="shared" si="3"/>
        <v>15047983.153946878</v>
      </c>
    </row>
    <row r="33" spans="1:11" x14ac:dyDescent="0.35">
      <c r="A33" s="27" t="s">
        <v>38</v>
      </c>
      <c r="B33" s="6">
        <f>SUM('Livestock Count'!B33:C33)</f>
        <v>8458845</v>
      </c>
      <c r="C33" s="7">
        <f>B33*Assumptions!B2*Assumptions!B3</f>
        <v>2093564.1375</v>
      </c>
      <c r="D33" s="7">
        <f>(B33+C33)*Assumptions!B4</f>
        <v>10024788.680624999</v>
      </c>
      <c r="E33" s="7">
        <v>0</v>
      </c>
      <c r="F33" s="7">
        <f t="shared" si="0"/>
        <v>10024788.680624999</v>
      </c>
      <c r="G33" s="7">
        <f>F33*(1+Assumptions!B5+Assumptions!B6+Assumptions!B7)</f>
        <v>11027267.548687499</v>
      </c>
      <c r="H33" s="7">
        <f>G33*(1+Assumptions!B8+Assumptions!B9)</f>
        <v>12681357.680990625</v>
      </c>
      <c r="I33" s="7">
        <f t="shared" si="1"/>
        <v>1056779.8067492188</v>
      </c>
      <c r="J33" s="7">
        <f t="shared" si="2"/>
        <v>6340678.8404953126</v>
      </c>
      <c r="K33" s="28">
        <f t="shared" si="3"/>
        <v>12681357.680990625</v>
      </c>
    </row>
    <row r="34" spans="1:11" x14ac:dyDescent="0.35">
      <c r="A34" s="27" t="s">
        <v>39</v>
      </c>
      <c r="B34" s="6">
        <f>SUM('Livestock Count'!B34:C34)</f>
        <v>746162</v>
      </c>
      <c r="C34" s="7">
        <f>B34*Assumptions!B2*Assumptions!B3</f>
        <v>184675.09500000003</v>
      </c>
      <c r="D34" s="7">
        <f>(B34+C34)*Assumptions!B4</f>
        <v>884295.24024999992</v>
      </c>
      <c r="E34" s="7">
        <v>0</v>
      </c>
      <c r="F34" s="7">
        <f t="shared" si="0"/>
        <v>884295.24024999992</v>
      </c>
      <c r="G34" s="7">
        <f>F34*(1+Assumptions!B5+Assumptions!B6+Assumptions!B7)</f>
        <v>972724.76427499996</v>
      </c>
      <c r="H34" s="7">
        <f>G34*(1+Assumptions!B8+Assumptions!B9)</f>
        <v>1118633.4789162502</v>
      </c>
      <c r="I34" s="7">
        <f t="shared" si="1"/>
        <v>93219.456576354176</v>
      </c>
      <c r="J34" s="7">
        <f t="shared" si="2"/>
        <v>559316.73945812508</v>
      </c>
      <c r="K34" s="28">
        <f t="shared" si="3"/>
        <v>1118633.4789162502</v>
      </c>
    </row>
    <row r="35" spans="1:11" x14ac:dyDescent="0.35">
      <c r="A35" s="27" t="s">
        <v>40</v>
      </c>
      <c r="B35" s="6">
        <f>SUM('Livestock Count'!B35:C35)</f>
        <v>52036426</v>
      </c>
      <c r="C35" s="7">
        <f>B35*Assumptions!B2*Assumptions!B3</f>
        <v>12879015.435000001</v>
      </c>
      <c r="D35" s="7">
        <f>(B35+C35)*Assumptions!B4</f>
        <v>61669669.363250002</v>
      </c>
      <c r="E35" s="7">
        <v>0</v>
      </c>
      <c r="F35" s="7">
        <f t="shared" si="0"/>
        <v>61669669.363250002</v>
      </c>
      <c r="G35" s="7">
        <f>F35*(1+Assumptions!B5+Assumptions!B6+Assumptions!B7)</f>
        <v>67836636.299575001</v>
      </c>
      <c r="H35" s="7">
        <f>G35*(1+Assumptions!B8+Assumptions!B9)</f>
        <v>78012131.744511262</v>
      </c>
      <c r="I35" s="7">
        <f t="shared" si="1"/>
        <v>6501010.9787092721</v>
      </c>
      <c r="J35" s="7">
        <f t="shared" si="2"/>
        <v>39006065.872255631</v>
      </c>
      <c r="K35" s="28">
        <f t="shared" si="3"/>
        <v>78012131.744511262</v>
      </c>
    </row>
    <row r="36" spans="1:11" x14ac:dyDescent="0.35">
      <c r="A36" s="27" t="s">
        <v>41</v>
      </c>
      <c r="B36" s="6">
        <f>SUM('Livestock Count'!B36:C36)</f>
        <v>2718441</v>
      </c>
      <c r="C36" s="7">
        <f>B36*Assumptions!B2*Assumptions!B3</f>
        <v>672814.14750000008</v>
      </c>
      <c r="D36" s="7">
        <f>(B36+C36)*Assumptions!B4</f>
        <v>3221692.3901249999</v>
      </c>
      <c r="E36" s="7">
        <v>0</v>
      </c>
      <c r="F36" s="7">
        <f t="shared" si="0"/>
        <v>3221692.3901249999</v>
      </c>
      <c r="G36" s="7">
        <f>F36*(1+Assumptions!B5+Assumptions!B6+Assumptions!B7)</f>
        <v>3543861.6291375002</v>
      </c>
      <c r="H36" s="7">
        <f>G36*(1+Assumptions!B8+Assumptions!B9)</f>
        <v>4075440.8735081255</v>
      </c>
      <c r="I36" s="7">
        <f t="shared" si="1"/>
        <v>339620.0727923438</v>
      </c>
      <c r="J36" s="7">
        <f t="shared" si="2"/>
        <v>2037720.4367540628</v>
      </c>
      <c r="K36" s="28">
        <f t="shared" si="3"/>
        <v>4075440.8735081255</v>
      </c>
    </row>
    <row r="37" spans="1:11" x14ac:dyDescent="0.35">
      <c r="A37" s="29" t="s">
        <v>42</v>
      </c>
      <c r="B37" s="30">
        <f>SUM('Livestock Count'!B37:C37)</f>
        <v>19708837</v>
      </c>
      <c r="C37" s="31">
        <f>B37*Assumptions!B2*Assumptions!B3</f>
        <v>4877937.1575000007</v>
      </c>
      <c r="D37" s="31">
        <f>(B37+C37)*Assumptions!B4</f>
        <v>23357435.449624997</v>
      </c>
      <c r="E37" s="31">
        <v>0</v>
      </c>
      <c r="F37" s="31">
        <f t="shared" si="0"/>
        <v>23357435.449624997</v>
      </c>
      <c r="G37" s="31">
        <f>F37*(1+Assumptions!B5+Assumptions!B6+Assumptions!B7)</f>
        <v>25693178.9945875</v>
      </c>
      <c r="H37" s="31">
        <f>G37*(1+Assumptions!B8+Assumptions!B9)</f>
        <v>29547155.843775626</v>
      </c>
      <c r="I37" s="31">
        <f t="shared" si="1"/>
        <v>2462262.986981302</v>
      </c>
      <c r="J37" s="31">
        <f t="shared" si="2"/>
        <v>14773577.921887813</v>
      </c>
      <c r="K37" s="32">
        <f t="shared" si="3"/>
        <v>29547155.843775626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7"/>
  <sheetViews>
    <sheetView zoomScale="70" zoomScaleNormal="70" workbookViewId="0">
      <selection sqref="A1:XFD1048576"/>
    </sheetView>
  </sheetViews>
  <sheetFormatPr defaultRowHeight="14.5" x14ac:dyDescent="0.35"/>
  <cols>
    <col min="1" max="1" width="26.08984375" bestFit="1" customWidth="1"/>
    <col min="2" max="3" width="22" customWidth="1"/>
    <col min="4" max="4" width="26.453125" customWidth="1"/>
    <col min="5" max="5" width="22" customWidth="1"/>
    <col min="6" max="6" width="24.81640625" customWidth="1"/>
    <col min="7" max="7" width="22" customWidth="1"/>
    <col min="8" max="8" width="23.54296875" customWidth="1"/>
    <col min="9" max="11" width="22" customWidth="1"/>
  </cols>
  <sheetData>
    <row r="1" spans="1:11" x14ac:dyDescent="0.35">
      <c r="A1" s="24" t="s">
        <v>0</v>
      </c>
      <c r="B1" s="25" t="s">
        <v>100</v>
      </c>
      <c r="C1" s="25" t="s">
        <v>74</v>
      </c>
      <c r="D1" s="25" t="s">
        <v>75</v>
      </c>
      <c r="E1" s="25" t="s">
        <v>101</v>
      </c>
      <c r="F1" s="25" t="s">
        <v>77</v>
      </c>
      <c r="G1" s="25" t="s">
        <v>78</v>
      </c>
      <c r="H1" s="25" t="s">
        <v>79</v>
      </c>
      <c r="I1" s="25" t="s">
        <v>80</v>
      </c>
      <c r="J1" s="25" t="s">
        <v>81</v>
      </c>
      <c r="K1" s="26" t="s">
        <v>82</v>
      </c>
    </row>
    <row r="2" spans="1:11" x14ac:dyDescent="0.35">
      <c r="A2" s="8" t="str">
        <f>'Livestock Count'!A2</f>
        <v>Andaman &amp; Nicobar Islands</v>
      </c>
      <c r="B2" s="1">
        <f>SUM('Livestock Count'!D2:E2)</f>
        <v>64766</v>
      </c>
      <c r="C2" s="3">
        <f>B2*Assumptions!B2*Assumptions!B3</f>
        <v>16029.585000000001</v>
      </c>
      <c r="D2" s="3">
        <f>(B2+C2)*Assumptions!B4</f>
        <v>76755.80575</v>
      </c>
      <c r="E2" s="3">
        <v>0</v>
      </c>
      <c r="F2" s="3">
        <f t="shared" ref="F2:F37" si="0">(D2-E2)*1</f>
        <v>76755.80575</v>
      </c>
      <c r="G2" s="3">
        <f>F2*(1+Assumptions!B5+Assumptions!B6+Assumptions!B7)</f>
        <v>84431.386324999999</v>
      </c>
      <c r="H2" s="3">
        <f>G2*(1+Assumptions!B8+Assumptions!B9)</f>
        <v>97096.094273750015</v>
      </c>
      <c r="I2" s="3">
        <f t="shared" ref="I2:I37" si="1">H2/12</f>
        <v>8091.341189479168</v>
      </c>
      <c r="J2" s="3">
        <f t="shared" ref="J2:J37" si="2">H2/2</f>
        <v>48548.047136875008</v>
      </c>
      <c r="K2" s="16">
        <f t="shared" ref="K2:K37" si="3">H2</f>
        <v>97096.094273750015</v>
      </c>
    </row>
    <row r="3" spans="1:11" x14ac:dyDescent="0.35">
      <c r="A3" s="8" t="str">
        <f>'Livestock Count'!A3</f>
        <v>Andhra Pradesh</v>
      </c>
      <c r="B3" s="1">
        <f>SUM('Livestock Count'!D3:E3)</f>
        <v>23149104</v>
      </c>
      <c r="C3" s="3">
        <f>B3*Assumptions!B2*Assumptions!B3</f>
        <v>5729403.2400000002</v>
      </c>
      <c r="D3" s="3">
        <f>(B3+C3)*Assumptions!B4</f>
        <v>27434581.878000002</v>
      </c>
      <c r="E3" s="3">
        <v>0</v>
      </c>
      <c r="F3" s="3">
        <f t="shared" si="0"/>
        <v>27434581.878000002</v>
      </c>
      <c r="G3" s="3">
        <f>F3*(1+Assumptions!B5+Assumptions!B6+Assumptions!B7)</f>
        <v>30178040.065800004</v>
      </c>
      <c r="H3" s="3">
        <f>G3*(1+Assumptions!B8+Assumptions!B9)</f>
        <v>34704746.075670011</v>
      </c>
      <c r="I3" s="3">
        <f t="shared" si="1"/>
        <v>2892062.1729725008</v>
      </c>
      <c r="J3" s="3">
        <f t="shared" si="2"/>
        <v>17352373.037835006</v>
      </c>
      <c r="K3" s="16">
        <f t="shared" si="3"/>
        <v>34704746.075670011</v>
      </c>
    </row>
    <row r="4" spans="1:11" x14ac:dyDescent="0.35">
      <c r="A4" s="8" t="str">
        <f>'Livestock Count'!A4</f>
        <v>Arunachal Pradesh</v>
      </c>
      <c r="B4" s="1">
        <f>SUM('Livestock Count'!D4:E4)</f>
        <v>167085</v>
      </c>
      <c r="C4" s="3">
        <f>B4*Assumptions!B2*Assumptions!B3</f>
        <v>41353.537500000006</v>
      </c>
      <c r="D4" s="3">
        <f>(B4+C4)*Assumptions!B4</f>
        <v>198016.610625</v>
      </c>
      <c r="E4" s="3">
        <v>0</v>
      </c>
      <c r="F4" s="3">
        <f t="shared" si="0"/>
        <v>198016.610625</v>
      </c>
      <c r="G4" s="3">
        <f>F4*(1+Assumptions!B5+Assumptions!B6+Assumptions!B7)</f>
        <v>217818.27168750003</v>
      </c>
      <c r="H4" s="3">
        <f>G4*(1+Assumptions!B8+Assumptions!B9)</f>
        <v>250491.01244062505</v>
      </c>
      <c r="I4" s="3">
        <f t="shared" si="1"/>
        <v>20874.251036718753</v>
      </c>
      <c r="J4" s="3">
        <f t="shared" si="2"/>
        <v>125245.50622031253</v>
      </c>
      <c r="K4" s="16">
        <f t="shared" si="3"/>
        <v>250491.01244062505</v>
      </c>
    </row>
    <row r="5" spans="1:11" x14ac:dyDescent="0.35">
      <c r="A5" s="8" t="str">
        <f>'Livestock Count'!A5</f>
        <v>Assam</v>
      </c>
      <c r="B5" s="1">
        <f>SUM('Livestock Count'!D5:E5)</f>
        <v>4647273</v>
      </c>
      <c r="C5" s="3">
        <f>B5*Assumptions!B2*Assumptions!B3</f>
        <v>1150200.0675000001</v>
      </c>
      <c r="D5" s="3">
        <f>(B5+C5)*Assumptions!B4</f>
        <v>5507599.4141249992</v>
      </c>
      <c r="E5" s="3">
        <v>0</v>
      </c>
      <c r="F5" s="3">
        <f t="shared" si="0"/>
        <v>5507599.4141249992</v>
      </c>
      <c r="G5" s="3">
        <f>F5*(1+Assumptions!B5+Assumptions!B6+Assumptions!B7)</f>
        <v>6058359.3555374993</v>
      </c>
      <c r="H5" s="3">
        <f>G5*(1+Assumptions!B8+Assumptions!B9)</f>
        <v>6967113.2588681253</v>
      </c>
      <c r="I5" s="3">
        <f t="shared" si="1"/>
        <v>580592.77157234377</v>
      </c>
      <c r="J5" s="3">
        <f t="shared" si="2"/>
        <v>3483556.6294340626</v>
      </c>
      <c r="K5" s="16">
        <f t="shared" si="3"/>
        <v>6967113.2588681253</v>
      </c>
    </row>
    <row r="6" spans="1:11" x14ac:dyDescent="0.35">
      <c r="A6" s="8" t="str">
        <f>'Livestock Count'!A6</f>
        <v>Bihar</v>
      </c>
      <c r="B6" s="1">
        <f>SUM('Livestock Count'!D6:E6)</f>
        <v>13034593</v>
      </c>
      <c r="C6" s="3">
        <f>B6*Assumptions!B2*Assumptions!B3</f>
        <v>3226061.7675000001</v>
      </c>
      <c r="D6" s="3">
        <f>(B6+C6)*Assumptions!B4</f>
        <v>15447622.029124999</v>
      </c>
      <c r="E6" s="3">
        <v>0</v>
      </c>
      <c r="F6" s="3">
        <f t="shared" si="0"/>
        <v>15447622.029124999</v>
      </c>
      <c r="G6" s="3">
        <f>F6*(1+Assumptions!B5+Assumptions!B6+Assumptions!B7)</f>
        <v>16992384.2320375</v>
      </c>
      <c r="H6" s="3">
        <f>G6*(1+Assumptions!B8+Assumptions!B9)</f>
        <v>19541241.866843127</v>
      </c>
      <c r="I6" s="3">
        <f t="shared" si="1"/>
        <v>1628436.8222369272</v>
      </c>
      <c r="J6" s="3">
        <f t="shared" si="2"/>
        <v>9770620.9334215634</v>
      </c>
      <c r="K6" s="16">
        <f t="shared" si="3"/>
        <v>19541241.866843127</v>
      </c>
    </row>
    <row r="7" spans="1:11" x14ac:dyDescent="0.35">
      <c r="A7" s="8" t="str">
        <f>'Livestock Count'!A7</f>
        <v>Chandigarh</v>
      </c>
      <c r="B7" s="1">
        <f>SUM('Livestock Count'!D7:E7)</f>
        <v>998</v>
      </c>
      <c r="C7" s="3">
        <f>B7*Assumptions!B2*Assumptions!B3</f>
        <v>247.00500000000005</v>
      </c>
      <c r="D7" s="3">
        <f>(B7+C7)*Assumptions!B4</f>
        <v>1182.7547500000001</v>
      </c>
      <c r="E7" s="3">
        <v>0</v>
      </c>
      <c r="F7" s="3">
        <f t="shared" si="0"/>
        <v>1182.7547500000001</v>
      </c>
      <c r="G7" s="3">
        <f>F7*(1+Assumptions!B5+Assumptions!B6+Assumptions!B7)</f>
        <v>1301.0302250000002</v>
      </c>
      <c r="H7" s="3">
        <f>G7*(1+Assumptions!B8+Assumptions!B9)</f>
        <v>1496.1847587500004</v>
      </c>
      <c r="I7" s="3">
        <f t="shared" si="1"/>
        <v>124.6820632291667</v>
      </c>
      <c r="J7" s="3">
        <f t="shared" si="2"/>
        <v>748.09237937500018</v>
      </c>
      <c r="K7" s="16">
        <f t="shared" si="3"/>
        <v>1496.1847587500004</v>
      </c>
    </row>
    <row r="8" spans="1:11" x14ac:dyDescent="0.35">
      <c r="A8" s="8" t="str">
        <f>'Livestock Count'!A8</f>
        <v>Chhattisgarh</v>
      </c>
      <c r="B8" s="1">
        <f>SUM('Livestock Count'!D8:E8)</f>
        <v>4185886</v>
      </c>
      <c r="C8" s="3">
        <f>B8*Assumptions!B2*Assumptions!B3</f>
        <v>1036006.7850000001</v>
      </c>
      <c r="D8" s="3">
        <f>(B8+C8)*Assumptions!B4</f>
        <v>4960798.1457500001</v>
      </c>
      <c r="E8" s="3">
        <v>0</v>
      </c>
      <c r="F8" s="3">
        <f t="shared" si="0"/>
        <v>4960798.1457500001</v>
      </c>
      <c r="G8" s="3">
        <f>F8*(1+Assumptions!B5+Assumptions!B6+Assumptions!B7)</f>
        <v>5456877.9603250008</v>
      </c>
      <c r="H8" s="3">
        <f>G8*(1+Assumptions!B8+Assumptions!B9)</f>
        <v>6275409.654373752</v>
      </c>
      <c r="I8" s="3">
        <f t="shared" si="1"/>
        <v>522950.80453114602</v>
      </c>
      <c r="J8" s="3">
        <f t="shared" si="2"/>
        <v>3137704.827186876</v>
      </c>
      <c r="K8" s="16">
        <f t="shared" si="3"/>
        <v>6275409.654373752</v>
      </c>
    </row>
    <row r="9" spans="1:11" x14ac:dyDescent="0.35">
      <c r="A9" s="8" t="str">
        <f>'Livestock Count'!A9</f>
        <v>Dadra &amp; Nagar Haveli</v>
      </c>
      <c r="B9" s="1">
        <f>SUM('Livestock Count'!D9:E9)</f>
        <v>7632</v>
      </c>
      <c r="C9" s="3">
        <f>B9*Assumptions!B2*Assumptions!B3</f>
        <v>1888.9200000000003</v>
      </c>
      <c r="D9" s="3">
        <f>(B9+C9)*Assumptions!B4</f>
        <v>9044.8739999999998</v>
      </c>
      <c r="E9" s="3">
        <v>0</v>
      </c>
      <c r="F9" s="3">
        <f t="shared" si="0"/>
        <v>9044.8739999999998</v>
      </c>
      <c r="G9" s="3">
        <f>F9*(1+Assumptions!B5+Assumptions!B6+Assumptions!B7)</f>
        <v>9949.3613999999998</v>
      </c>
      <c r="H9" s="3">
        <f>G9*(1+Assumptions!B8+Assumptions!B9)</f>
        <v>11441.76561</v>
      </c>
      <c r="I9" s="3">
        <f t="shared" si="1"/>
        <v>953.48046750000003</v>
      </c>
      <c r="J9" s="3">
        <f t="shared" si="2"/>
        <v>5720.8828050000002</v>
      </c>
      <c r="K9" s="16">
        <f t="shared" si="3"/>
        <v>11441.76561</v>
      </c>
    </row>
    <row r="10" spans="1:11" x14ac:dyDescent="0.35">
      <c r="A10" s="8" t="str">
        <f>'Livestock Count'!A10</f>
        <v>Daman &amp; Diu</v>
      </c>
      <c r="B10" s="1">
        <f>SUM('Livestock Count'!D10:E10)</f>
        <v>1055</v>
      </c>
      <c r="C10" s="3">
        <f>B10*Assumptions!B2*Assumptions!B3</f>
        <v>261.11250000000001</v>
      </c>
      <c r="D10" s="3">
        <f>(B10+C10)*Assumptions!B4</f>
        <v>1250.306875</v>
      </c>
      <c r="E10" s="3">
        <v>0</v>
      </c>
      <c r="F10" s="3">
        <f t="shared" si="0"/>
        <v>1250.306875</v>
      </c>
      <c r="G10" s="3">
        <f>F10*(1+Assumptions!B5+Assumptions!B6+Assumptions!B7)</f>
        <v>1375.3375625000001</v>
      </c>
      <c r="H10" s="3">
        <f>G10*(1+Assumptions!B8+Assumptions!B9)</f>
        <v>1581.6381968750004</v>
      </c>
      <c r="I10" s="3">
        <f t="shared" si="1"/>
        <v>131.80318307291671</v>
      </c>
      <c r="J10" s="3">
        <f t="shared" si="2"/>
        <v>790.8190984375002</v>
      </c>
      <c r="K10" s="16">
        <f t="shared" si="3"/>
        <v>1581.6381968750004</v>
      </c>
    </row>
    <row r="11" spans="1:11" x14ac:dyDescent="0.35">
      <c r="A11" s="8" t="str">
        <f>'Livestock Count'!A11</f>
        <v>Delhi</v>
      </c>
      <c r="B11" s="1">
        <f>SUM('Livestock Count'!D11:E11)</f>
        <v>31402</v>
      </c>
      <c r="C11" s="3">
        <f>B11*Assumptions!B2*Assumptions!B3</f>
        <v>7771.9950000000008</v>
      </c>
      <c r="D11" s="3">
        <f>(B11+C11)*Assumptions!B4</f>
        <v>37215.295250000003</v>
      </c>
      <c r="E11" s="3">
        <v>0</v>
      </c>
      <c r="F11" s="3">
        <f t="shared" si="0"/>
        <v>37215.295250000003</v>
      </c>
      <c r="G11" s="3">
        <f>F11*(1+Assumptions!B5+Assumptions!B6+Assumptions!B7)</f>
        <v>40936.824775000008</v>
      </c>
      <c r="H11" s="3">
        <f>G11*(1+Assumptions!B8+Assumptions!B9)</f>
        <v>47077.348491250013</v>
      </c>
      <c r="I11" s="3">
        <f t="shared" si="1"/>
        <v>3923.1123742708346</v>
      </c>
      <c r="J11" s="3">
        <f t="shared" si="2"/>
        <v>23538.674245625007</v>
      </c>
      <c r="K11" s="16">
        <f t="shared" si="3"/>
        <v>47077.348491250013</v>
      </c>
    </row>
    <row r="12" spans="1:11" x14ac:dyDescent="0.35">
      <c r="A12" s="8" t="str">
        <f>'Livestock Count'!A12</f>
        <v>Goa</v>
      </c>
      <c r="B12" s="1">
        <f>SUM('Livestock Count'!D12:E12)</f>
        <v>9454</v>
      </c>
      <c r="C12" s="3">
        <f>B12*Assumptions!B2*Assumptions!B3</f>
        <v>2339.8650000000002</v>
      </c>
      <c r="D12" s="3">
        <f>(B12+C12)*Assumptions!B4</f>
        <v>11204.17175</v>
      </c>
      <c r="E12" s="3">
        <v>0</v>
      </c>
      <c r="F12" s="3">
        <f t="shared" si="0"/>
        <v>11204.17175</v>
      </c>
      <c r="G12" s="3">
        <f>F12*(1+Assumptions!B5+Assumptions!B6+Assumptions!B7)</f>
        <v>12324.588925</v>
      </c>
      <c r="H12" s="3">
        <f>G12*(1+Assumptions!B8+Assumptions!B9)</f>
        <v>14173.277263750002</v>
      </c>
      <c r="I12" s="3">
        <f t="shared" si="1"/>
        <v>1181.1064386458336</v>
      </c>
      <c r="J12" s="3">
        <f t="shared" si="2"/>
        <v>7086.638631875001</v>
      </c>
      <c r="K12" s="16">
        <f t="shared" si="3"/>
        <v>14173.277263750002</v>
      </c>
    </row>
    <row r="13" spans="1:11" x14ac:dyDescent="0.35">
      <c r="A13" s="8" t="str">
        <f>'Livestock Count'!A13</f>
        <v>Gujarat</v>
      </c>
      <c r="B13" s="1">
        <f>SUM('Livestock Count'!D13:E13)</f>
        <v>6655007</v>
      </c>
      <c r="C13" s="3">
        <f>B13*Assumptions!B2*Assumptions!B3</f>
        <v>1647114.2325000002</v>
      </c>
      <c r="D13" s="3">
        <f>(B13+C13)*Assumptions!B4</f>
        <v>7887015.1708749998</v>
      </c>
      <c r="E13" s="3">
        <v>0</v>
      </c>
      <c r="F13" s="3">
        <f t="shared" si="0"/>
        <v>7887015.1708749998</v>
      </c>
      <c r="G13" s="3">
        <f>F13*(1+Assumptions!B5+Assumptions!B6+Assumptions!B7)</f>
        <v>8675716.6879625004</v>
      </c>
      <c r="H13" s="3">
        <f>G13*(1+Assumptions!B8+Assumptions!B9)</f>
        <v>9977074.1911568772</v>
      </c>
      <c r="I13" s="3">
        <f t="shared" si="1"/>
        <v>831422.84926307306</v>
      </c>
      <c r="J13" s="3">
        <f t="shared" si="2"/>
        <v>4988537.0955784386</v>
      </c>
      <c r="K13" s="16">
        <f t="shared" si="3"/>
        <v>9977074.1911568772</v>
      </c>
    </row>
    <row r="14" spans="1:11" x14ac:dyDescent="0.35">
      <c r="A14" s="8" t="str">
        <f>'Livestock Count'!A14</f>
        <v>Haryana</v>
      </c>
      <c r="B14" s="1">
        <f>SUM('Livestock Count'!D14:E14)</f>
        <v>623010</v>
      </c>
      <c r="C14" s="3">
        <f>B14*Assumptions!B2*Assumptions!B3</f>
        <v>154194.97500000001</v>
      </c>
      <c r="D14" s="3">
        <f>(B14+C14)*Assumptions!B4</f>
        <v>738344.72624999995</v>
      </c>
      <c r="E14" s="3">
        <v>0</v>
      </c>
      <c r="F14" s="3">
        <f t="shared" si="0"/>
        <v>738344.72624999995</v>
      </c>
      <c r="G14" s="3">
        <f>F14*(1+Assumptions!B5+Assumptions!B6+Assumptions!B7)</f>
        <v>812179.198875</v>
      </c>
      <c r="H14" s="3">
        <f>G14*(1+Assumptions!B8+Assumptions!B9)</f>
        <v>934006.07870625006</v>
      </c>
      <c r="I14" s="3">
        <f t="shared" si="1"/>
        <v>77833.839892187505</v>
      </c>
      <c r="J14" s="3">
        <f t="shared" si="2"/>
        <v>467003.03935312503</v>
      </c>
      <c r="K14" s="16">
        <f t="shared" si="3"/>
        <v>934006.07870625006</v>
      </c>
    </row>
    <row r="15" spans="1:11" x14ac:dyDescent="0.35">
      <c r="A15" s="8" t="str">
        <f>'Livestock Count'!A15</f>
        <v>Himachal Pradesh</v>
      </c>
      <c r="B15" s="1">
        <f>SUM('Livestock Count'!D15:E15)</f>
        <v>1899758</v>
      </c>
      <c r="C15" s="3">
        <f>B15*Assumptions!B2*Assumptions!B3</f>
        <v>470190.1050000001</v>
      </c>
      <c r="D15" s="3">
        <f>(B15+C15)*Assumptions!B4</f>
        <v>2251450.6997499997</v>
      </c>
      <c r="E15" s="3">
        <v>0</v>
      </c>
      <c r="F15" s="3">
        <f t="shared" si="0"/>
        <v>2251450.6997499997</v>
      </c>
      <c r="G15" s="3">
        <f>F15*(1+Assumptions!B5+Assumptions!B6+Assumptions!B7)</f>
        <v>2476595.769725</v>
      </c>
      <c r="H15" s="3">
        <f>G15*(1+Assumptions!B8+Assumptions!B9)</f>
        <v>2848085.1351837502</v>
      </c>
      <c r="I15" s="3">
        <f t="shared" si="1"/>
        <v>237340.42793197918</v>
      </c>
      <c r="J15" s="3">
        <f t="shared" si="2"/>
        <v>1424042.5675918751</v>
      </c>
      <c r="K15" s="16">
        <f t="shared" si="3"/>
        <v>2848085.1351837502</v>
      </c>
    </row>
    <row r="16" spans="1:11" x14ac:dyDescent="0.35">
      <c r="A16" s="8" t="str">
        <f>'Livestock Count'!A16</f>
        <v>Jammu &amp; Kashmir</v>
      </c>
      <c r="B16" s="1">
        <f>SUM('Livestock Count'!D16:E16)</f>
        <v>4977721</v>
      </c>
      <c r="C16" s="3">
        <f>B16*Assumptions!B2*Assumptions!B3</f>
        <v>1231985.9475000002</v>
      </c>
      <c r="D16" s="3">
        <f>(B16+C16)*Assumptions!B4</f>
        <v>5899221.6001249999</v>
      </c>
      <c r="E16" s="3">
        <v>0</v>
      </c>
      <c r="F16" s="3">
        <f t="shared" si="0"/>
        <v>5899221.6001249999</v>
      </c>
      <c r="G16" s="3">
        <f>F16*(1+Assumptions!B5+Assumptions!B6+Assumptions!B7)</f>
        <v>6489143.7601375002</v>
      </c>
      <c r="H16" s="3">
        <f>G16*(1+Assumptions!B8+Assumptions!B9)</f>
        <v>7462515.3241581265</v>
      </c>
      <c r="I16" s="3">
        <f t="shared" si="1"/>
        <v>621876.27701317717</v>
      </c>
      <c r="J16" s="3">
        <f t="shared" si="2"/>
        <v>3731257.6620790632</v>
      </c>
      <c r="K16" s="16">
        <f t="shared" si="3"/>
        <v>7462515.3241581265</v>
      </c>
    </row>
    <row r="17" spans="1:11" x14ac:dyDescent="0.35">
      <c r="A17" s="8" t="str">
        <f>'Livestock Count'!A17</f>
        <v>Jharkhand</v>
      </c>
      <c r="B17" s="1">
        <f>SUM('Livestock Count'!D17:E17)</f>
        <v>9762356</v>
      </c>
      <c r="C17" s="3">
        <f>B17*Assumptions!B2*Assumptions!B3</f>
        <v>2416183.1100000003</v>
      </c>
      <c r="D17" s="3">
        <f>(B17+C17)*Assumptions!B4</f>
        <v>11569612.154499998</v>
      </c>
      <c r="E17" s="3">
        <v>0</v>
      </c>
      <c r="F17" s="3">
        <f t="shared" si="0"/>
        <v>11569612.154499998</v>
      </c>
      <c r="G17" s="3">
        <f>F17*(1+Assumptions!B5+Assumptions!B6+Assumptions!B7)</f>
        <v>12726573.369949998</v>
      </c>
      <c r="H17" s="3">
        <f>G17*(1+Assumptions!B8+Assumptions!B9)</f>
        <v>14635559.375442499</v>
      </c>
      <c r="I17" s="3">
        <f t="shared" si="1"/>
        <v>1219629.9479535415</v>
      </c>
      <c r="J17" s="3">
        <f t="shared" si="2"/>
        <v>7317779.6877212496</v>
      </c>
      <c r="K17" s="16">
        <f t="shared" si="3"/>
        <v>14635559.375442499</v>
      </c>
    </row>
    <row r="18" spans="1:11" x14ac:dyDescent="0.35">
      <c r="A18" s="8" t="str">
        <f>'Livestock Count'!A18</f>
        <v>Karnataka</v>
      </c>
      <c r="B18" s="1">
        <f>SUM('Livestock Count'!D18:E18)</f>
        <v>17220120</v>
      </c>
      <c r="C18" s="3">
        <f>B18*Assumptions!B2*Assumptions!B3</f>
        <v>4261979.7</v>
      </c>
      <c r="D18" s="3">
        <f>(B18+C18)*Assumptions!B4</f>
        <v>20407994.715</v>
      </c>
      <c r="E18" s="3">
        <v>0</v>
      </c>
      <c r="F18" s="3">
        <f t="shared" si="0"/>
        <v>20407994.715</v>
      </c>
      <c r="G18" s="3">
        <f>F18*(1+Assumptions!B5+Assumptions!B6+Assumptions!B7)</f>
        <v>22448794.186500002</v>
      </c>
      <c r="H18" s="3">
        <f>G18*(1+Assumptions!B8+Assumptions!B9)</f>
        <v>25816113.314475004</v>
      </c>
      <c r="I18" s="3">
        <f t="shared" si="1"/>
        <v>2151342.7762062503</v>
      </c>
      <c r="J18" s="3">
        <f t="shared" si="2"/>
        <v>12908056.657237502</v>
      </c>
      <c r="K18" s="16">
        <f t="shared" si="3"/>
        <v>25816113.314475004</v>
      </c>
    </row>
    <row r="19" spans="1:11" x14ac:dyDescent="0.35">
      <c r="A19" s="8" t="str">
        <f>'Livestock Count'!A19</f>
        <v>Kerala</v>
      </c>
      <c r="B19" s="1">
        <f>SUM('Livestock Count'!D19:E19)</f>
        <v>1360643</v>
      </c>
      <c r="C19" s="3">
        <f>B19*Assumptions!B2*Assumptions!B3</f>
        <v>336759.14250000002</v>
      </c>
      <c r="D19" s="3">
        <f>(B19+C19)*Assumptions!B4</f>
        <v>1612532.035375</v>
      </c>
      <c r="E19" s="3">
        <v>0</v>
      </c>
      <c r="F19" s="3">
        <f t="shared" si="0"/>
        <v>1612532.035375</v>
      </c>
      <c r="G19" s="3">
        <f>F19*(1+Assumptions!B5+Assumptions!B6+Assumptions!B7)</f>
        <v>1773785.2389125002</v>
      </c>
      <c r="H19" s="3">
        <f>G19*(1+Assumptions!B8+Assumptions!B9)</f>
        <v>2039853.0247493754</v>
      </c>
      <c r="I19" s="3">
        <f t="shared" si="1"/>
        <v>169987.75206244795</v>
      </c>
      <c r="J19" s="3">
        <f t="shared" si="2"/>
        <v>1019926.5123746877</v>
      </c>
      <c r="K19" s="16">
        <f t="shared" si="3"/>
        <v>2039853.0247493754</v>
      </c>
    </row>
    <row r="20" spans="1:11" x14ac:dyDescent="0.35">
      <c r="A20" s="8" t="str">
        <f>'Livestock Count'!A20</f>
        <v>Lakshadweep</v>
      </c>
      <c r="B20" s="1">
        <f>SUM('Livestock Count'!D20:E20)</f>
        <v>43188</v>
      </c>
      <c r="C20" s="3">
        <f>B20*Assumptions!B2*Assumptions!B3</f>
        <v>10689.03</v>
      </c>
      <c r="D20" s="3">
        <f>(B20+C20)*Assumptions!B4</f>
        <v>51183.178499999995</v>
      </c>
      <c r="E20" s="3">
        <v>0</v>
      </c>
      <c r="F20" s="3">
        <f t="shared" si="0"/>
        <v>51183.178499999995</v>
      </c>
      <c r="G20" s="3">
        <f>F20*(1+Assumptions!B5+Assumptions!B6+Assumptions!B7)</f>
        <v>56301.496350000001</v>
      </c>
      <c r="H20" s="3">
        <f>G20*(1+Assumptions!B8+Assumptions!B9)</f>
        <v>64746.720802500007</v>
      </c>
      <c r="I20" s="3">
        <f t="shared" si="1"/>
        <v>5395.5600668750003</v>
      </c>
      <c r="J20" s="3">
        <f t="shared" si="2"/>
        <v>32373.360401250004</v>
      </c>
      <c r="K20" s="16">
        <f t="shared" si="3"/>
        <v>64746.720802500007</v>
      </c>
    </row>
    <row r="21" spans="1:11" x14ac:dyDescent="0.35">
      <c r="A21" s="8" t="str">
        <f>'Livestock Count'!A21</f>
        <v>Madhya Pradesh</v>
      </c>
      <c r="B21" s="1">
        <f>SUM('Livestock Count'!D21:E21)</f>
        <v>11389109</v>
      </c>
      <c r="C21" s="3">
        <f>B21*Assumptions!B2*Assumptions!B3</f>
        <v>2818804.4775</v>
      </c>
      <c r="D21" s="3">
        <f>(B21+C21)*Assumptions!B4</f>
        <v>13497517.803624999</v>
      </c>
      <c r="E21" s="3">
        <v>0</v>
      </c>
      <c r="F21" s="3">
        <f t="shared" si="0"/>
        <v>13497517.803624999</v>
      </c>
      <c r="G21" s="3">
        <f>F21*(1+Assumptions!B5+Assumptions!B6+Assumptions!B7)</f>
        <v>14847269.583987501</v>
      </c>
      <c r="H21" s="3">
        <f>G21*(1+Assumptions!B8+Assumptions!B9)</f>
        <v>17074360.021585628</v>
      </c>
      <c r="I21" s="3">
        <f t="shared" si="1"/>
        <v>1422863.3351321358</v>
      </c>
      <c r="J21" s="3">
        <f t="shared" si="2"/>
        <v>8537180.0107928142</v>
      </c>
      <c r="K21" s="16">
        <f t="shared" si="3"/>
        <v>17074360.021585628</v>
      </c>
    </row>
    <row r="22" spans="1:11" x14ac:dyDescent="0.35">
      <c r="A22" s="8" t="str">
        <f>'Livestock Count'!A22</f>
        <v>Maharashtra</v>
      </c>
      <c r="B22" s="1">
        <f>SUM('Livestock Count'!D22:E22)</f>
        <v>13285212</v>
      </c>
      <c r="C22" s="3">
        <f>B22*Assumptions!B2*Assumptions!B3</f>
        <v>3288089.97</v>
      </c>
      <c r="D22" s="3">
        <f>(B22+C22)*Assumptions!B4</f>
        <v>15744636.8715</v>
      </c>
      <c r="E22" s="3">
        <v>0</v>
      </c>
      <c r="F22" s="3">
        <f t="shared" si="0"/>
        <v>15744636.8715</v>
      </c>
      <c r="G22" s="3">
        <f>F22*(1+Assumptions!B5+Assumptions!B6+Assumptions!B7)</f>
        <v>17319100.558650002</v>
      </c>
      <c r="H22" s="3">
        <f>G22*(1+Assumptions!B8+Assumptions!B9)</f>
        <v>19916965.642447505</v>
      </c>
      <c r="I22" s="3">
        <f t="shared" si="1"/>
        <v>1659747.1368706254</v>
      </c>
      <c r="J22" s="3">
        <f t="shared" si="2"/>
        <v>9958482.8212237526</v>
      </c>
      <c r="K22" s="16">
        <f t="shared" si="3"/>
        <v>19916965.642447505</v>
      </c>
    </row>
    <row r="23" spans="1:11" x14ac:dyDescent="0.35">
      <c r="A23" s="8" t="str">
        <f>'Livestock Count'!A23</f>
        <v>Manipur</v>
      </c>
      <c r="B23" s="1">
        <f>SUM('Livestock Count'!D23:E23)</f>
        <v>44618</v>
      </c>
      <c r="C23" s="3">
        <f>B23*Assumptions!B2*Assumptions!B3</f>
        <v>11042.955000000002</v>
      </c>
      <c r="D23" s="3">
        <f>(B23+C23)*Assumptions!B4</f>
        <v>52877.907249999997</v>
      </c>
      <c r="E23" s="3">
        <v>0</v>
      </c>
      <c r="F23" s="3">
        <f t="shared" si="0"/>
        <v>52877.907249999997</v>
      </c>
      <c r="G23" s="3">
        <f>F23*(1+Assumptions!B5+Assumptions!B6+Assumptions!B7)</f>
        <v>58165.697975000003</v>
      </c>
      <c r="H23" s="3">
        <f>G23*(1+Assumptions!B8+Assumptions!B9)</f>
        <v>66890.552671250014</v>
      </c>
      <c r="I23" s="3">
        <f t="shared" si="1"/>
        <v>5574.2127226041675</v>
      </c>
      <c r="J23" s="3">
        <f t="shared" si="2"/>
        <v>33445.276335625007</v>
      </c>
      <c r="K23" s="16">
        <f t="shared" si="3"/>
        <v>66890.552671250014</v>
      </c>
    </row>
    <row r="24" spans="1:11" x14ac:dyDescent="0.35">
      <c r="A24" s="8" t="str">
        <f>'Livestock Count'!A24</f>
        <v>Meghalaya</v>
      </c>
      <c r="B24" s="1">
        <f>SUM('Livestock Count'!D24:E24)</f>
        <v>413182</v>
      </c>
      <c r="C24" s="3">
        <f>B24*Assumptions!B2*Assumptions!B3</f>
        <v>102262.545</v>
      </c>
      <c r="D24" s="3">
        <f>(B24+C24)*Assumptions!B4</f>
        <v>489672.31774999999</v>
      </c>
      <c r="E24" s="3">
        <v>0</v>
      </c>
      <c r="F24" s="3">
        <f t="shared" si="0"/>
        <v>489672.31774999999</v>
      </c>
      <c r="G24" s="3">
        <f>F24*(1+Assumptions!B5+Assumptions!B6+Assumptions!B7)</f>
        <v>538639.54952500004</v>
      </c>
      <c r="H24" s="3">
        <f>G24*(1+Assumptions!B8+Assumptions!B9)</f>
        <v>619435.48195375013</v>
      </c>
      <c r="I24" s="3">
        <f t="shared" si="1"/>
        <v>51619.623496145847</v>
      </c>
      <c r="J24" s="3">
        <f t="shared" si="2"/>
        <v>309717.74097687507</v>
      </c>
      <c r="K24" s="16">
        <f t="shared" si="3"/>
        <v>619435.48195375013</v>
      </c>
    </row>
    <row r="25" spans="1:11" x14ac:dyDescent="0.35">
      <c r="A25" s="8" t="str">
        <f>'Livestock Count'!A25</f>
        <v>Mizoram</v>
      </c>
      <c r="B25" s="1">
        <f>SUM('Livestock Count'!D25:E25)</f>
        <v>15305</v>
      </c>
      <c r="C25" s="3">
        <f>B25*Assumptions!B2*Assumptions!B3</f>
        <v>3787.9875000000002</v>
      </c>
      <c r="D25" s="3">
        <f>(B25+C25)*Assumptions!B4</f>
        <v>18138.338124999998</v>
      </c>
      <c r="E25" s="3">
        <v>0</v>
      </c>
      <c r="F25" s="3">
        <f t="shared" si="0"/>
        <v>18138.338124999998</v>
      </c>
      <c r="G25" s="3">
        <f>F25*(1+Assumptions!B5+Assumptions!B6+Assumptions!B7)</f>
        <v>19952.171937499999</v>
      </c>
      <c r="H25" s="3">
        <f>G25*(1+Assumptions!B8+Assumptions!B9)</f>
        <v>22944.997728125003</v>
      </c>
      <c r="I25" s="3">
        <f t="shared" si="1"/>
        <v>1912.0831440104168</v>
      </c>
      <c r="J25" s="3">
        <f t="shared" si="2"/>
        <v>11472.498864062502</v>
      </c>
      <c r="K25" s="16">
        <f t="shared" si="3"/>
        <v>22944.997728125003</v>
      </c>
    </row>
    <row r="26" spans="1:11" x14ac:dyDescent="0.35">
      <c r="A26" s="8" t="str">
        <f>'Livestock Count'!A26</f>
        <v>Nagaland</v>
      </c>
      <c r="B26" s="1">
        <f>SUM('Livestock Count'!D26:E26)</f>
        <v>31963</v>
      </c>
      <c r="C26" s="3">
        <f>B26*Assumptions!B2*Assumptions!B3</f>
        <v>7910.8425000000007</v>
      </c>
      <c r="D26" s="3">
        <f>(B26+C26)*Assumptions!B4</f>
        <v>37880.150374999997</v>
      </c>
      <c r="E26" s="3">
        <v>0</v>
      </c>
      <c r="F26" s="3">
        <f t="shared" si="0"/>
        <v>37880.150374999997</v>
      </c>
      <c r="G26" s="3">
        <f>F26*(1+Assumptions!B5+Assumptions!B6+Assumptions!B7)</f>
        <v>41668.165412499999</v>
      </c>
      <c r="H26" s="3">
        <f>G26*(1+Assumptions!B8+Assumptions!B9)</f>
        <v>47918.390224375005</v>
      </c>
      <c r="I26" s="3">
        <f t="shared" si="1"/>
        <v>3993.1991853645836</v>
      </c>
      <c r="J26" s="3">
        <f t="shared" si="2"/>
        <v>23959.195112187503</v>
      </c>
      <c r="K26" s="16">
        <f t="shared" si="3"/>
        <v>47918.390224375005</v>
      </c>
    </row>
    <row r="27" spans="1:11" x14ac:dyDescent="0.35">
      <c r="A27" s="8" t="str">
        <f>'Livestock Count'!A27</f>
        <v>Odisha</v>
      </c>
      <c r="B27" s="1">
        <f>SUM('Livestock Count'!D27:E27)</f>
        <v>7672601</v>
      </c>
      <c r="C27" s="3">
        <f>B27*Assumptions!B2*Assumptions!B3</f>
        <v>1898968.7475000003</v>
      </c>
      <c r="D27" s="3">
        <f>(B27+C27)*Assumptions!B4</f>
        <v>9092991.260125</v>
      </c>
      <c r="E27" s="3">
        <v>0</v>
      </c>
      <c r="F27" s="3">
        <f t="shared" si="0"/>
        <v>9092991.260125</v>
      </c>
      <c r="G27" s="3">
        <f>F27*(1+Assumptions!B5+Assumptions!B6+Assumptions!B7)</f>
        <v>10002290.3861375</v>
      </c>
      <c r="H27" s="3">
        <f>G27*(1+Assumptions!B8+Assumptions!B9)</f>
        <v>11502633.944058128</v>
      </c>
      <c r="I27" s="3">
        <f t="shared" si="1"/>
        <v>958552.82867151068</v>
      </c>
      <c r="J27" s="3">
        <f t="shared" si="2"/>
        <v>5751316.9720290639</v>
      </c>
      <c r="K27" s="16">
        <f t="shared" si="3"/>
        <v>11502633.944058128</v>
      </c>
    </row>
    <row r="28" spans="1:11" x14ac:dyDescent="0.35">
      <c r="A28" s="8" t="str">
        <f>'Livestock Count'!A28</f>
        <v>Puducherry</v>
      </c>
      <c r="B28" s="1">
        <f>SUM('Livestock Count'!D28:E28)</f>
        <v>76075</v>
      </c>
      <c r="C28" s="3">
        <f>B28*Assumptions!B2*Assumptions!B3</f>
        <v>18828.5625</v>
      </c>
      <c r="D28" s="3">
        <f>(B28+C28)*Assumptions!B4</f>
        <v>90158.384374999994</v>
      </c>
      <c r="E28" s="3">
        <v>0</v>
      </c>
      <c r="F28" s="3">
        <f t="shared" si="0"/>
        <v>90158.384374999994</v>
      </c>
      <c r="G28" s="3">
        <f>F28*(1+Assumptions!B5+Assumptions!B6+Assumptions!B7)</f>
        <v>99174.222812499997</v>
      </c>
      <c r="H28" s="3">
        <f>G28*(1+Assumptions!B8+Assumptions!B9)</f>
        <v>114050.35623437501</v>
      </c>
      <c r="I28" s="3">
        <f t="shared" si="1"/>
        <v>9504.1963528645847</v>
      </c>
      <c r="J28" s="3">
        <f t="shared" si="2"/>
        <v>57025.178117187505</v>
      </c>
      <c r="K28" s="16">
        <f t="shared" si="3"/>
        <v>114050.35623437501</v>
      </c>
    </row>
    <row r="29" spans="1:11" x14ac:dyDescent="0.35">
      <c r="A29" s="8" t="str">
        <f>'Livestock Count'!A29</f>
        <v>Punjab</v>
      </c>
      <c r="B29" s="1">
        <f>SUM('Livestock Count'!D29:E29)</f>
        <v>433509</v>
      </c>
      <c r="C29" s="3">
        <f>B29*Assumptions!B2*Assumptions!B3</f>
        <v>107293.47750000001</v>
      </c>
      <c r="D29" s="3">
        <f>(B29+C29)*Assumptions!B4</f>
        <v>513762.35362499999</v>
      </c>
      <c r="E29" s="3">
        <v>0</v>
      </c>
      <c r="F29" s="3">
        <f t="shared" si="0"/>
        <v>513762.35362499999</v>
      </c>
      <c r="G29" s="3">
        <f>F29*(1+Assumptions!B5+Assumptions!B6+Assumptions!B7)</f>
        <v>565138.58898750006</v>
      </c>
      <c r="H29" s="3">
        <f>G29*(1+Assumptions!B8+Assumptions!B9)</f>
        <v>649909.37733562512</v>
      </c>
      <c r="I29" s="3">
        <f t="shared" si="1"/>
        <v>54159.11477796876</v>
      </c>
      <c r="J29" s="3">
        <f t="shared" si="2"/>
        <v>324954.68866781256</v>
      </c>
      <c r="K29" s="16">
        <f t="shared" si="3"/>
        <v>649909.37733562512</v>
      </c>
    </row>
    <row r="30" spans="1:11" x14ac:dyDescent="0.35">
      <c r="A30" s="8" t="str">
        <f>'Livestock Count'!A30</f>
        <v>Rajasthan</v>
      </c>
      <c r="B30" s="1">
        <f>SUM('Livestock Count'!D30:E30)</f>
        <v>28744060</v>
      </c>
      <c r="C30" s="3">
        <f>B30*Assumptions!B2*Assumptions!B3</f>
        <v>7114154.8500000006</v>
      </c>
      <c r="D30" s="3">
        <f>(B30+C30)*Assumptions!B4</f>
        <v>34065304.107500002</v>
      </c>
      <c r="E30" s="3">
        <v>0</v>
      </c>
      <c r="F30" s="3">
        <f t="shared" si="0"/>
        <v>34065304.107500002</v>
      </c>
      <c r="G30" s="3">
        <f>F30*(1+Assumptions!B5+Assumptions!B6+Assumptions!B7)</f>
        <v>37471834.518250003</v>
      </c>
      <c r="H30" s="3">
        <f>G30*(1+Assumptions!B8+Assumptions!B9)</f>
        <v>43092609.695987508</v>
      </c>
      <c r="I30" s="3">
        <f t="shared" si="1"/>
        <v>3591050.807998959</v>
      </c>
      <c r="J30" s="3">
        <f t="shared" si="2"/>
        <v>21546304.847993754</v>
      </c>
      <c r="K30" s="16">
        <f t="shared" si="3"/>
        <v>43092609.695987508</v>
      </c>
    </row>
    <row r="31" spans="1:11" x14ac:dyDescent="0.35">
      <c r="A31" s="8" t="str">
        <f>'Livestock Count'!A31</f>
        <v>Sikkim</v>
      </c>
      <c r="B31" s="1">
        <f>SUM('Livestock Count'!D31:E31)</f>
        <v>92522</v>
      </c>
      <c r="C31" s="3">
        <f>B31*Assumptions!B2*Assumptions!B3</f>
        <v>22899.195000000003</v>
      </c>
      <c r="D31" s="3">
        <f>(B31+C31)*Assumptions!B4</f>
        <v>109650.13525000001</v>
      </c>
      <c r="E31" s="3">
        <v>0</v>
      </c>
      <c r="F31" s="3">
        <f t="shared" si="0"/>
        <v>109650.13525000001</v>
      </c>
      <c r="G31" s="3">
        <f>F31*(1+Assumptions!B5+Assumptions!B6+Assumptions!B7)</f>
        <v>120615.14877500002</v>
      </c>
      <c r="H31" s="3">
        <f>G31*(1+Assumptions!B8+Assumptions!B9)</f>
        <v>138707.42109125006</v>
      </c>
      <c r="I31" s="3">
        <f t="shared" si="1"/>
        <v>11558.951757604171</v>
      </c>
      <c r="J31" s="3">
        <f t="shared" si="2"/>
        <v>69353.710545625028</v>
      </c>
      <c r="K31" s="16">
        <f t="shared" si="3"/>
        <v>138707.42109125006</v>
      </c>
    </row>
    <row r="32" spans="1:11" x14ac:dyDescent="0.35">
      <c r="A32" s="8" t="str">
        <f>'Livestock Count'!A32</f>
        <v>Tamil Nadu</v>
      </c>
      <c r="B32" s="1">
        <f>SUM('Livestock Count'!D32:E32)</f>
        <v>14389237</v>
      </c>
      <c r="C32" s="3">
        <f>B32*Assumptions!B2*Assumptions!B3</f>
        <v>3561336.1575000002</v>
      </c>
      <c r="D32" s="3">
        <f>(B32+C32)*Assumptions!B4</f>
        <v>17053044.499624997</v>
      </c>
      <c r="E32" s="3">
        <v>0</v>
      </c>
      <c r="F32" s="3">
        <f t="shared" si="0"/>
        <v>17053044.499624997</v>
      </c>
      <c r="G32" s="3">
        <f>F32*(1+Assumptions!B5+Assumptions!B6+Assumptions!B7)</f>
        <v>18758348.949587498</v>
      </c>
      <c r="H32" s="3">
        <f>G32*(1+Assumptions!B8+Assumptions!B9)</f>
        <v>21572101.292025626</v>
      </c>
      <c r="I32" s="3">
        <f t="shared" si="1"/>
        <v>1797675.1076688021</v>
      </c>
      <c r="J32" s="3">
        <f t="shared" si="2"/>
        <v>10786050.646012813</v>
      </c>
      <c r="K32" s="16">
        <f t="shared" si="3"/>
        <v>21572101.292025626</v>
      </c>
    </row>
    <row r="33" spans="1:11" x14ac:dyDescent="0.35">
      <c r="A33" s="8" t="str">
        <f>'Livestock Count'!A33</f>
        <v>Telangana</v>
      </c>
      <c r="B33" s="1">
        <f>SUM('Livestock Count'!D33:E33)</f>
        <v>23997731</v>
      </c>
      <c r="C33" s="3">
        <f>B33*Assumptions!B2*Assumptions!B3</f>
        <v>5939438.4225000003</v>
      </c>
      <c r="D33" s="3">
        <f>(B33+C33)*Assumptions!B4</f>
        <v>28440310.951374996</v>
      </c>
      <c r="E33" s="3">
        <v>0</v>
      </c>
      <c r="F33" s="3">
        <f t="shared" si="0"/>
        <v>28440310.951374996</v>
      </c>
      <c r="G33" s="3">
        <f>F33*(1+Assumptions!B5+Assumptions!B6+Assumptions!B7)</f>
        <v>31284342.046512499</v>
      </c>
      <c r="H33" s="3">
        <f>G33*(1+Assumptions!B8+Assumptions!B9)</f>
        <v>35976993.353489377</v>
      </c>
      <c r="I33" s="3">
        <f t="shared" si="1"/>
        <v>2998082.7794574481</v>
      </c>
      <c r="J33" s="3">
        <f t="shared" si="2"/>
        <v>17988496.676744688</v>
      </c>
      <c r="K33" s="16">
        <f t="shared" si="3"/>
        <v>35976993.353489377</v>
      </c>
    </row>
    <row r="34" spans="1:11" x14ac:dyDescent="0.35">
      <c r="A34" s="8" t="str">
        <f>'Livestock Count'!A34</f>
        <v>Tripura</v>
      </c>
      <c r="B34" s="1">
        <f>SUM('Livestock Count'!D34:E34)</f>
        <v>365664</v>
      </c>
      <c r="C34" s="3">
        <f>B34*Assumptions!B2*Assumptions!B3</f>
        <v>90501.840000000011</v>
      </c>
      <c r="D34" s="3">
        <f>(B34+C34)*Assumptions!B4</f>
        <v>433357.54800000001</v>
      </c>
      <c r="E34" s="3">
        <v>0</v>
      </c>
      <c r="F34" s="3">
        <f t="shared" si="0"/>
        <v>433357.54800000001</v>
      </c>
      <c r="G34" s="3">
        <f>F34*(1+Assumptions!B5+Assumptions!B6+Assumptions!B7)</f>
        <v>476693.30280000006</v>
      </c>
      <c r="H34" s="3">
        <f>G34*(1+Assumptions!B8+Assumptions!B9)</f>
        <v>548197.29822000011</v>
      </c>
      <c r="I34" s="3">
        <f t="shared" si="1"/>
        <v>45683.108185000012</v>
      </c>
      <c r="J34" s="3">
        <f t="shared" si="2"/>
        <v>274098.64911000006</v>
      </c>
      <c r="K34" s="16">
        <f t="shared" si="3"/>
        <v>548197.29822000011</v>
      </c>
    </row>
    <row r="35" spans="1:11" x14ac:dyDescent="0.35">
      <c r="A35" s="8" t="str">
        <f>'Livestock Count'!A35</f>
        <v>Uttar Pradesh</v>
      </c>
      <c r="B35" s="1">
        <f>SUM('Livestock Count'!D35:E35)</f>
        <v>15464750</v>
      </c>
      <c r="C35" s="3">
        <f>B35*Assumptions!B2*Assumptions!B3</f>
        <v>3827525.625</v>
      </c>
      <c r="D35" s="3">
        <f>(B35+C35)*Assumptions!B4</f>
        <v>18327661.84375</v>
      </c>
      <c r="E35" s="3">
        <v>0</v>
      </c>
      <c r="F35" s="3">
        <f t="shared" si="0"/>
        <v>18327661.84375</v>
      </c>
      <c r="G35" s="3">
        <f>F35*(1+Assumptions!B5+Assumptions!B6+Assumptions!B7)</f>
        <v>20160428.028125003</v>
      </c>
      <c r="H35" s="3">
        <f>G35*(1+Assumptions!B8+Assumptions!B9)</f>
        <v>23184492.232343756</v>
      </c>
      <c r="I35" s="3">
        <f t="shared" si="1"/>
        <v>1932041.0193619796</v>
      </c>
      <c r="J35" s="3">
        <f t="shared" si="2"/>
        <v>11592246.116171878</v>
      </c>
      <c r="K35" s="16">
        <f t="shared" si="3"/>
        <v>23184492.232343756</v>
      </c>
    </row>
    <row r="36" spans="1:11" x14ac:dyDescent="0.35">
      <c r="A36" s="8" t="str">
        <f>'Livestock Count'!A36</f>
        <v>Uttarakhand</v>
      </c>
      <c r="B36" s="1">
        <f>SUM('Livestock Count'!D36:E36)</f>
        <v>1656586</v>
      </c>
      <c r="C36" s="3">
        <f>B36*Assumptions!B2*Assumptions!B3</f>
        <v>410005.03500000003</v>
      </c>
      <c r="D36" s="3">
        <f>(B36+C36)*Assumptions!B4</f>
        <v>1963261.48325</v>
      </c>
      <c r="E36" s="3">
        <v>0</v>
      </c>
      <c r="F36" s="3">
        <f t="shared" si="0"/>
        <v>1963261.48325</v>
      </c>
      <c r="G36" s="3">
        <f>F36*(1+Assumptions!B5+Assumptions!B6+Assumptions!B7)</f>
        <v>2159587.631575</v>
      </c>
      <c r="H36" s="3">
        <f>G36*(1+Assumptions!B8+Assumptions!B9)</f>
        <v>2483525.7763112504</v>
      </c>
      <c r="I36" s="3">
        <f t="shared" si="1"/>
        <v>206960.48135927087</v>
      </c>
      <c r="J36" s="3">
        <f t="shared" si="2"/>
        <v>1241762.8881556252</v>
      </c>
      <c r="K36" s="16">
        <f t="shared" si="3"/>
        <v>2483525.7763112504</v>
      </c>
    </row>
    <row r="37" spans="1:11" x14ac:dyDescent="0.35">
      <c r="A37" s="13" t="str">
        <f>'Livestock Count'!A37</f>
        <v>West Bengal</v>
      </c>
      <c r="B37" s="14">
        <f>SUM('Livestock Count'!D37:E37)</f>
        <v>17232226</v>
      </c>
      <c r="C37" s="17">
        <f>B37*Assumptions!B2*Assumptions!B3</f>
        <v>4264975.9350000005</v>
      </c>
      <c r="D37" s="17">
        <f>(B37+C37)*Assumptions!B4</f>
        <v>20422341.83825</v>
      </c>
      <c r="E37" s="17">
        <v>0</v>
      </c>
      <c r="F37" s="17">
        <f t="shared" si="0"/>
        <v>20422341.83825</v>
      </c>
      <c r="G37" s="17">
        <f>F37*(1+Assumptions!B5+Assumptions!B6+Assumptions!B7)</f>
        <v>22464576.022075001</v>
      </c>
      <c r="H37" s="17">
        <f>G37*(1+Assumptions!B8+Assumptions!B9)</f>
        <v>25834262.425386254</v>
      </c>
      <c r="I37" s="17">
        <f t="shared" si="1"/>
        <v>2152855.2021155213</v>
      </c>
      <c r="J37" s="17">
        <f t="shared" si="2"/>
        <v>12917131.212693127</v>
      </c>
      <c r="K37" s="18">
        <f t="shared" si="3"/>
        <v>25834262.425386254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7"/>
  <sheetViews>
    <sheetView zoomScale="70" zoomScaleNormal="70" workbookViewId="0">
      <selection sqref="A1:XFD1048576"/>
    </sheetView>
  </sheetViews>
  <sheetFormatPr defaultRowHeight="14.5" x14ac:dyDescent="0.35"/>
  <cols>
    <col min="1" max="1" width="26.08984375" bestFit="1" customWidth="1"/>
    <col min="2" max="3" width="22" customWidth="1"/>
    <col min="4" max="4" width="26.453125" customWidth="1"/>
    <col min="5" max="5" width="22" customWidth="1"/>
    <col min="6" max="6" width="24.81640625" customWidth="1"/>
    <col min="7" max="7" width="22" customWidth="1"/>
    <col min="8" max="8" width="23.54296875" customWidth="1"/>
    <col min="9" max="11" width="22" customWidth="1"/>
  </cols>
  <sheetData>
    <row r="1" spans="1:11" x14ac:dyDescent="0.35">
      <c r="A1" s="24" t="s">
        <v>0</v>
      </c>
      <c r="B1" s="25" t="s">
        <v>100</v>
      </c>
      <c r="C1" s="25" t="s">
        <v>74</v>
      </c>
      <c r="D1" s="25" t="s">
        <v>75</v>
      </c>
      <c r="E1" s="25" t="s">
        <v>101</v>
      </c>
      <c r="F1" s="25" t="s">
        <v>77</v>
      </c>
      <c r="G1" s="25" t="s">
        <v>78</v>
      </c>
      <c r="H1" s="25" t="s">
        <v>79</v>
      </c>
      <c r="I1" s="25" t="s">
        <v>80</v>
      </c>
      <c r="J1" s="25" t="s">
        <v>81</v>
      </c>
      <c r="K1" s="26" t="s">
        <v>82</v>
      </c>
    </row>
    <row r="2" spans="1:11" x14ac:dyDescent="0.35">
      <c r="A2" s="8" t="str">
        <f>'Livestock Count'!A2</f>
        <v>Andaman &amp; Nicobar Islands</v>
      </c>
      <c r="B2" s="1">
        <f>'Livestock Count'!F2</f>
        <v>40488</v>
      </c>
      <c r="C2" s="3">
        <f>B2*Assumptions!B2*Assumptions!B3</f>
        <v>10020.780000000001</v>
      </c>
      <c r="D2" s="3">
        <f>(B2+C2)*Assumptions!B4</f>
        <v>47983.340999999993</v>
      </c>
      <c r="E2" s="3">
        <v>0</v>
      </c>
      <c r="F2" s="3">
        <f t="shared" ref="F2:F37" si="0">(D2-E2)*1</f>
        <v>47983.340999999993</v>
      </c>
      <c r="G2" s="3">
        <f>F2*(1+Assumptions!B5+Assumptions!B6+Assumptions!B7)</f>
        <v>52781.675099999993</v>
      </c>
      <c r="H2" s="3">
        <f>G2*(1+Assumptions!B8+Assumptions!B9)</f>
        <v>60698.926364999999</v>
      </c>
      <c r="I2" s="3">
        <f t="shared" ref="I2:I37" si="1">H2/12</f>
        <v>5058.2438637499999</v>
      </c>
      <c r="J2" s="3">
        <f t="shared" ref="J2:J37" si="2">H2/2</f>
        <v>30349.4631825</v>
      </c>
      <c r="K2" s="16">
        <f t="shared" ref="K2:K37" si="3">H2</f>
        <v>60698.926364999999</v>
      </c>
    </row>
    <row r="3" spans="1:11" x14ac:dyDescent="0.35">
      <c r="A3" s="8" t="str">
        <f>'Livestock Count'!A3</f>
        <v>Andhra Pradesh</v>
      </c>
      <c r="B3" s="1">
        <f>'Livestock Count'!F3</f>
        <v>91958</v>
      </c>
      <c r="C3" s="3">
        <f>B3*Assumptions!B2*Assumptions!B3</f>
        <v>22759.605</v>
      </c>
      <c r="D3" s="3">
        <f>(B3+C3)*Assumptions!B4</f>
        <v>108981.72474999999</v>
      </c>
      <c r="E3" s="3">
        <v>0</v>
      </c>
      <c r="F3" s="3">
        <f t="shared" si="0"/>
        <v>108981.72474999999</v>
      </c>
      <c r="G3" s="3">
        <f>F3*(1+Assumptions!B5+Assumptions!B6+Assumptions!B7)</f>
        <v>119879.89722500001</v>
      </c>
      <c r="H3" s="3">
        <f>G3*(1+Assumptions!B8+Assumptions!B9)</f>
        <v>137861.88180875001</v>
      </c>
      <c r="I3" s="3">
        <f t="shared" si="1"/>
        <v>11488.490150729167</v>
      </c>
      <c r="J3" s="3">
        <f t="shared" si="2"/>
        <v>68930.940904375006</v>
      </c>
      <c r="K3" s="16">
        <f t="shared" si="3"/>
        <v>137861.88180875001</v>
      </c>
    </row>
    <row r="4" spans="1:11" x14ac:dyDescent="0.35">
      <c r="A4" s="8" t="str">
        <f>'Livestock Count'!A4</f>
        <v>Arunachal Pradesh</v>
      </c>
      <c r="B4" s="1">
        <f>'Livestock Count'!F4</f>
        <v>271463</v>
      </c>
      <c r="C4" s="3">
        <f>B4*Assumptions!B2*Assumptions!B3</f>
        <v>67187.092500000013</v>
      </c>
      <c r="D4" s="3">
        <f>(B4+C4)*Assumptions!B4</f>
        <v>321717.58787500003</v>
      </c>
      <c r="E4" s="3">
        <v>0</v>
      </c>
      <c r="F4" s="3">
        <f t="shared" si="0"/>
        <v>321717.58787500003</v>
      </c>
      <c r="G4" s="3">
        <f>F4*(1+Assumptions!B5+Assumptions!B6+Assumptions!B7)</f>
        <v>353889.34666250006</v>
      </c>
      <c r="H4" s="3">
        <f>G4*(1+Assumptions!B8+Assumptions!B9)</f>
        <v>406972.74866187514</v>
      </c>
      <c r="I4" s="3">
        <f t="shared" si="1"/>
        <v>33914.395721822926</v>
      </c>
      <c r="J4" s="3">
        <f t="shared" si="2"/>
        <v>203486.37433093757</v>
      </c>
      <c r="K4" s="16">
        <f t="shared" si="3"/>
        <v>406972.74866187514</v>
      </c>
    </row>
    <row r="5" spans="1:11" x14ac:dyDescent="0.35">
      <c r="A5" s="8" t="str">
        <f>'Livestock Count'!A5</f>
        <v>Assam</v>
      </c>
      <c r="B5" s="1">
        <f>'Livestock Count'!F5</f>
        <v>2099000</v>
      </c>
      <c r="C5" s="3">
        <f>B5*Assumptions!B2*Assumptions!B3</f>
        <v>519502.5</v>
      </c>
      <c r="D5" s="3">
        <f>(B5+C5)*Assumptions!B4</f>
        <v>2487577.375</v>
      </c>
      <c r="E5" s="3">
        <v>0</v>
      </c>
      <c r="F5" s="3">
        <f t="shared" si="0"/>
        <v>2487577.375</v>
      </c>
      <c r="G5" s="3">
        <f>F5*(1+Assumptions!B5+Assumptions!B6+Assumptions!B7)</f>
        <v>2736335.1125000003</v>
      </c>
      <c r="H5" s="3">
        <f>G5*(1+Assumptions!B8+Assumptions!B9)</f>
        <v>3146785.3793750005</v>
      </c>
      <c r="I5" s="3">
        <f t="shared" si="1"/>
        <v>262232.11494791671</v>
      </c>
      <c r="J5" s="3">
        <f t="shared" si="2"/>
        <v>1573392.6896875002</v>
      </c>
      <c r="K5" s="16">
        <f t="shared" si="3"/>
        <v>3146785.3793750005</v>
      </c>
    </row>
    <row r="6" spans="1:11" x14ac:dyDescent="0.35">
      <c r="A6" s="8" t="str">
        <f>'Livestock Count'!A6</f>
        <v>Bihar</v>
      </c>
      <c r="B6" s="1">
        <f>'Livestock Count'!F6</f>
        <v>343434</v>
      </c>
      <c r="C6" s="3">
        <f>B6*Assumptions!B2*Assumptions!B3</f>
        <v>84999.915000000008</v>
      </c>
      <c r="D6" s="3">
        <f>(B6+C6)*Assumptions!B4</f>
        <v>407012.21925000002</v>
      </c>
      <c r="E6" s="3">
        <v>0</v>
      </c>
      <c r="F6" s="3">
        <f t="shared" si="0"/>
        <v>407012.21925000002</v>
      </c>
      <c r="G6" s="3">
        <f>F6*(1+Assumptions!B5+Assumptions!B6+Assumptions!B7)</f>
        <v>447713.44117500004</v>
      </c>
      <c r="H6" s="3">
        <f>G6*(1+Assumptions!B8+Assumptions!B9)</f>
        <v>514870.45735125011</v>
      </c>
      <c r="I6" s="3">
        <f t="shared" si="1"/>
        <v>42905.871445937511</v>
      </c>
      <c r="J6" s="3">
        <f t="shared" si="2"/>
        <v>257435.22867562505</v>
      </c>
      <c r="K6" s="16">
        <f t="shared" si="3"/>
        <v>514870.45735125011</v>
      </c>
    </row>
    <row r="7" spans="1:11" x14ac:dyDescent="0.35">
      <c r="A7" s="8" t="str">
        <f>'Livestock Count'!A7</f>
        <v>Chandigarh</v>
      </c>
      <c r="B7" s="1">
        <f>'Livestock Count'!F7</f>
        <v>138</v>
      </c>
      <c r="C7" s="3">
        <f>B7*Assumptions!B2*Assumptions!B3</f>
        <v>34.155000000000001</v>
      </c>
      <c r="D7" s="3">
        <f>(B7+C7)*Assumptions!B4</f>
        <v>163.54724999999999</v>
      </c>
      <c r="E7" s="3">
        <v>0</v>
      </c>
      <c r="F7" s="3">
        <f t="shared" si="0"/>
        <v>163.54724999999999</v>
      </c>
      <c r="G7" s="3">
        <f>F7*(1+Assumptions!B5+Assumptions!B6+Assumptions!B7)</f>
        <v>179.90197499999999</v>
      </c>
      <c r="H7" s="3">
        <f>G7*(1+Assumptions!B8+Assumptions!B9)</f>
        <v>206.88727125000003</v>
      </c>
      <c r="I7" s="3">
        <f t="shared" si="1"/>
        <v>17.240605937500003</v>
      </c>
      <c r="J7" s="3">
        <f t="shared" si="2"/>
        <v>103.44363562500001</v>
      </c>
      <c r="K7" s="16">
        <f t="shared" si="3"/>
        <v>206.88727125000003</v>
      </c>
    </row>
    <row r="8" spans="1:11" x14ac:dyDescent="0.35">
      <c r="A8" s="8" t="str">
        <f>'Livestock Count'!A8</f>
        <v>Chhattisgarh</v>
      </c>
      <c r="B8" s="1">
        <f>'Livestock Count'!F8</f>
        <v>526901</v>
      </c>
      <c r="C8" s="3">
        <f>B8*Assumptions!B2*Assumptions!B3</f>
        <v>130407.99750000003</v>
      </c>
      <c r="D8" s="3">
        <f>(B8+C8)*Assumptions!B4</f>
        <v>624443.54762500001</v>
      </c>
      <c r="E8" s="3">
        <v>0</v>
      </c>
      <c r="F8" s="3">
        <f t="shared" si="0"/>
        <v>624443.54762500001</v>
      </c>
      <c r="G8" s="3">
        <f>F8*(1+Assumptions!B5+Assumptions!B6+Assumptions!B7)</f>
        <v>686887.90238750004</v>
      </c>
      <c r="H8" s="3">
        <f>G8*(1+Assumptions!B8+Assumptions!B9)</f>
        <v>789921.08774562518</v>
      </c>
      <c r="I8" s="3">
        <f t="shared" si="1"/>
        <v>65826.757312135436</v>
      </c>
      <c r="J8" s="3">
        <f t="shared" si="2"/>
        <v>394960.54387281259</v>
      </c>
      <c r="K8" s="16">
        <f t="shared" si="3"/>
        <v>789921.08774562518</v>
      </c>
    </row>
    <row r="9" spans="1:11" x14ac:dyDescent="0.35">
      <c r="A9" s="8" t="str">
        <f>'Livestock Count'!A9</f>
        <v>Dadra &amp; Nagar Haveli</v>
      </c>
      <c r="B9" s="1">
        <f>'Livestock Count'!F9</f>
        <v>0</v>
      </c>
      <c r="C9" s="3">
        <f>B9*Assumptions!B2*Assumptions!B3</f>
        <v>0</v>
      </c>
      <c r="D9" s="3">
        <f>(B9+C9)*Assumptions!B4</f>
        <v>0</v>
      </c>
      <c r="E9" s="3">
        <v>0</v>
      </c>
      <c r="F9" s="3">
        <f t="shared" si="0"/>
        <v>0</v>
      </c>
      <c r="G9" s="3">
        <f>F9*(1+Assumptions!B5+Assumptions!B6+Assumptions!B7)</f>
        <v>0</v>
      </c>
      <c r="H9" s="3">
        <f>G9*(1+Assumptions!B8+Assumptions!B9)</f>
        <v>0</v>
      </c>
      <c r="I9" s="3">
        <f t="shared" si="1"/>
        <v>0</v>
      </c>
      <c r="J9" s="3">
        <f t="shared" si="2"/>
        <v>0</v>
      </c>
      <c r="K9" s="16">
        <f t="shared" si="3"/>
        <v>0</v>
      </c>
    </row>
    <row r="10" spans="1:11" x14ac:dyDescent="0.35">
      <c r="A10" s="8" t="str">
        <f>'Livestock Count'!A10</f>
        <v>Daman &amp; Diu</v>
      </c>
      <c r="B10" s="1">
        <f>'Livestock Count'!F10</f>
        <v>0</v>
      </c>
      <c r="C10" s="3">
        <f>B10*Assumptions!B2*Assumptions!B3</f>
        <v>0</v>
      </c>
      <c r="D10" s="3">
        <f>(B10+C10)*Assumptions!B4</f>
        <v>0</v>
      </c>
      <c r="E10" s="3">
        <v>0</v>
      </c>
      <c r="F10" s="3">
        <f t="shared" si="0"/>
        <v>0</v>
      </c>
      <c r="G10" s="3">
        <f>F10*(1+Assumptions!B5+Assumptions!B6+Assumptions!B7)</f>
        <v>0</v>
      </c>
      <c r="H10" s="3">
        <f>G10*(1+Assumptions!B8+Assumptions!B9)</f>
        <v>0</v>
      </c>
      <c r="I10" s="3">
        <f t="shared" si="1"/>
        <v>0</v>
      </c>
      <c r="J10" s="3">
        <f t="shared" si="2"/>
        <v>0</v>
      </c>
      <c r="K10" s="16">
        <f t="shared" si="3"/>
        <v>0</v>
      </c>
    </row>
    <row r="11" spans="1:11" x14ac:dyDescent="0.35">
      <c r="A11" s="8" t="str">
        <f>'Livestock Count'!A11</f>
        <v>Delhi</v>
      </c>
      <c r="B11" s="1">
        <f>'Livestock Count'!F11</f>
        <v>76346</v>
      </c>
      <c r="C11" s="3">
        <f>B11*Assumptions!B2*Assumptions!B3</f>
        <v>18895.635000000002</v>
      </c>
      <c r="D11" s="3">
        <f>(B11+C11)*Assumptions!B4</f>
        <v>90479.553250000012</v>
      </c>
      <c r="E11" s="3">
        <v>0</v>
      </c>
      <c r="F11" s="3">
        <f t="shared" si="0"/>
        <v>90479.553250000012</v>
      </c>
      <c r="G11" s="3">
        <f>F11*(1+Assumptions!B5+Assumptions!B6+Assumptions!B7)</f>
        <v>99527.508575000014</v>
      </c>
      <c r="H11" s="3">
        <f>G11*(1+Assumptions!B8+Assumptions!B9)</f>
        <v>114456.63486125003</v>
      </c>
      <c r="I11" s="3">
        <f t="shared" si="1"/>
        <v>9538.0529051041685</v>
      </c>
      <c r="J11" s="3">
        <f t="shared" si="2"/>
        <v>57228.317430625015</v>
      </c>
      <c r="K11" s="16">
        <f t="shared" si="3"/>
        <v>114456.63486125003</v>
      </c>
    </row>
    <row r="12" spans="1:11" x14ac:dyDescent="0.35">
      <c r="A12" s="8" t="str">
        <f>'Livestock Count'!A12</f>
        <v>Goa</v>
      </c>
      <c r="B12" s="1">
        <f>'Livestock Count'!F12</f>
        <v>35480</v>
      </c>
      <c r="C12" s="3">
        <f>B12*Assumptions!B2*Assumptions!B3</f>
        <v>8781.3000000000011</v>
      </c>
      <c r="D12" s="3">
        <f>(B12+C12)*Assumptions!B4</f>
        <v>42048.235000000001</v>
      </c>
      <c r="E12" s="3">
        <v>0</v>
      </c>
      <c r="F12" s="3">
        <f t="shared" si="0"/>
        <v>42048.235000000001</v>
      </c>
      <c r="G12" s="3">
        <f>F12*(1+Assumptions!B5+Assumptions!B6+Assumptions!B7)</f>
        <v>46253.058500000006</v>
      </c>
      <c r="H12" s="3">
        <f>G12*(1+Assumptions!B8+Assumptions!B9)</f>
        <v>53191.017275000013</v>
      </c>
      <c r="I12" s="3">
        <f t="shared" si="1"/>
        <v>4432.584772916668</v>
      </c>
      <c r="J12" s="3">
        <f t="shared" si="2"/>
        <v>26595.508637500006</v>
      </c>
      <c r="K12" s="16">
        <f t="shared" si="3"/>
        <v>53191.017275000013</v>
      </c>
    </row>
    <row r="13" spans="1:11" x14ac:dyDescent="0.35">
      <c r="A13" s="8" t="str">
        <f>'Livestock Count'!A13</f>
        <v>Gujarat</v>
      </c>
      <c r="B13" s="1">
        <f>'Livestock Count'!F13</f>
        <v>658</v>
      </c>
      <c r="C13" s="3">
        <f>B13*Assumptions!B2*Assumptions!B3</f>
        <v>162.85500000000002</v>
      </c>
      <c r="D13" s="3">
        <f>(B13+C13)*Assumptions!B4</f>
        <v>779.81224999999995</v>
      </c>
      <c r="E13" s="3">
        <v>0</v>
      </c>
      <c r="F13" s="3">
        <f t="shared" si="0"/>
        <v>779.81224999999995</v>
      </c>
      <c r="G13" s="3">
        <f>F13*(1+Assumptions!B5+Assumptions!B6+Assumptions!B7)</f>
        <v>857.79347500000006</v>
      </c>
      <c r="H13" s="3">
        <f>G13*(1+Assumptions!B8+Assumptions!B9)</f>
        <v>986.46249625000019</v>
      </c>
      <c r="I13" s="3">
        <f t="shared" si="1"/>
        <v>82.205208020833354</v>
      </c>
      <c r="J13" s="3">
        <f t="shared" si="2"/>
        <v>493.23124812500009</v>
      </c>
      <c r="K13" s="16">
        <f t="shared" si="3"/>
        <v>986.46249625000019</v>
      </c>
    </row>
    <row r="14" spans="1:11" x14ac:dyDescent="0.35">
      <c r="A14" s="8" t="str">
        <f>'Livestock Count'!A14</f>
        <v>Haryana</v>
      </c>
      <c r="B14" s="1">
        <f>'Livestock Count'!F14</f>
        <v>108240</v>
      </c>
      <c r="C14" s="3">
        <f>B14*Assumptions!B2*Assumptions!B3</f>
        <v>26789.400000000005</v>
      </c>
      <c r="D14" s="3">
        <f>(B14+C14)*Assumptions!B4</f>
        <v>128277.93</v>
      </c>
      <c r="E14" s="3">
        <v>0</v>
      </c>
      <c r="F14" s="3">
        <f t="shared" si="0"/>
        <v>128277.93</v>
      </c>
      <c r="G14" s="3">
        <f>F14*(1+Assumptions!B5+Assumptions!B6+Assumptions!B7)</f>
        <v>141105.723</v>
      </c>
      <c r="H14" s="3">
        <f>G14*(1+Assumptions!B8+Assumptions!B9)</f>
        <v>162271.58145000003</v>
      </c>
      <c r="I14" s="3">
        <f t="shared" si="1"/>
        <v>13522.631787500002</v>
      </c>
      <c r="J14" s="3">
        <f t="shared" si="2"/>
        <v>81135.790725000013</v>
      </c>
      <c r="K14" s="16">
        <f t="shared" si="3"/>
        <v>162271.58145000003</v>
      </c>
    </row>
    <row r="15" spans="1:11" x14ac:dyDescent="0.35">
      <c r="A15" s="8" t="str">
        <f>'Livestock Count'!A15</f>
        <v>Himachal Pradesh</v>
      </c>
      <c r="B15" s="1">
        <f>'Livestock Count'!F15</f>
        <v>2477</v>
      </c>
      <c r="C15" s="3">
        <f>B15*Assumptions!B2*Assumptions!B3</f>
        <v>613.05750000000012</v>
      </c>
      <c r="D15" s="3">
        <f>(B15+C15)*Assumptions!B4</f>
        <v>2935.5546249999998</v>
      </c>
      <c r="E15" s="3">
        <v>0</v>
      </c>
      <c r="F15" s="3">
        <f t="shared" si="0"/>
        <v>2935.5546249999998</v>
      </c>
      <c r="G15" s="3">
        <f>F15*(1+Assumptions!B5+Assumptions!B6+Assumptions!B7)</f>
        <v>3229.1100875000002</v>
      </c>
      <c r="H15" s="3">
        <f>G15*(1+Assumptions!B8+Assumptions!B9)</f>
        <v>3713.4766006250006</v>
      </c>
      <c r="I15" s="3">
        <f t="shared" si="1"/>
        <v>309.4563833854167</v>
      </c>
      <c r="J15" s="3">
        <f t="shared" si="2"/>
        <v>1856.7383003125003</v>
      </c>
      <c r="K15" s="16">
        <f t="shared" si="3"/>
        <v>3713.4766006250006</v>
      </c>
    </row>
    <row r="16" spans="1:11" x14ac:dyDescent="0.35">
      <c r="A16" s="8" t="str">
        <f>'Livestock Count'!A16</f>
        <v>Jammu &amp; Kashmir</v>
      </c>
      <c r="B16" s="1">
        <f>'Livestock Count'!F16</f>
        <v>1215</v>
      </c>
      <c r="C16" s="3">
        <f>B16*Assumptions!B2*Assumptions!B3</f>
        <v>300.71250000000003</v>
      </c>
      <c r="D16" s="3">
        <f>(B16+C16)*Assumptions!B4</f>
        <v>1439.9268750000001</v>
      </c>
      <c r="E16" s="3">
        <v>0</v>
      </c>
      <c r="F16" s="3">
        <f t="shared" si="0"/>
        <v>1439.9268750000001</v>
      </c>
      <c r="G16" s="3">
        <f>F16*(1+Assumptions!B5+Assumptions!B6+Assumptions!B7)</f>
        <v>1583.9195625000002</v>
      </c>
      <c r="H16" s="3">
        <f>G16*(1+Assumptions!B8+Assumptions!B9)</f>
        <v>1821.5074968750005</v>
      </c>
      <c r="I16" s="3">
        <f t="shared" si="1"/>
        <v>151.79229140625003</v>
      </c>
      <c r="J16" s="3">
        <f t="shared" si="2"/>
        <v>910.75374843750024</v>
      </c>
      <c r="K16" s="16">
        <f t="shared" si="3"/>
        <v>1821.5074968750005</v>
      </c>
    </row>
    <row r="17" spans="1:11" x14ac:dyDescent="0.35">
      <c r="A17" s="8" t="str">
        <f>'Livestock Count'!A17</f>
        <v>Jharkhand</v>
      </c>
      <c r="B17" s="1">
        <f>'Livestock Count'!F17</f>
        <v>1276973</v>
      </c>
      <c r="C17" s="3">
        <f>B17*Assumptions!B2*Assumptions!B3</f>
        <v>316050.8175</v>
      </c>
      <c r="D17" s="3">
        <f>(B17+C17)*Assumptions!B4</f>
        <v>1513372.6266249998</v>
      </c>
      <c r="E17" s="3">
        <v>0</v>
      </c>
      <c r="F17" s="3">
        <f t="shared" si="0"/>
        <v>1513372.6266249998</v>
      </c>
      <c r="G17" s="3">
        <f>F17*(1+Assumptions!B5+Assumptions!B6+Assumptions!B7)</f>
        <v>1664709.8892874999</v>
      </c>
      <c r="H17" s="3">
        <f>G17*(1+Assumptions!B8+Assumptions!B9)</f>
        <v>1914416.3726806252</v>
      </c>
      <c r="I17" s="3">
        <f t="shared" si="1"/>
        <v>159534.69772338544</v>
      </c>
      <c r="J17" s="3">
        <f t="shared" si="2"/>
        <v>957208.18634031259</v>
      </c>
      <c r="K17" s="16">
        <f t="shared" si="3"/>
        <v>1914416.3726806252</v>
      </c>
    </row>
    <row r="18" spans="1:11" x14ac:dyDescent="0.35">
      <c r="A18" s="8" t="str">
        <f>'Livestock Count'!A18</f>
        <v>Karnataka</v>
      </c>
      <c r="B18" s="1">
        <f>'Livestock Count'!F18</f>
        <v>323836</v>
      </c>
      <c r="C18" s="3">
        <f>B18*Assumptions!B2*Assumptions!B3</f>
        <v>80149.41</v>
      </c>
      <c r="D18" s="3">
        <f>(B18+C18)*Assumptions!B4</f>
        <v>383786.13949999999</v>
      </c>
      <c r="E18" s="3">
        <v>0</v>
      </c>
      <c r="F18" s="3">
        <f t="shared" si="0"/>
        <v>383786.13949999999</v>
      </c>
      <c r="G18" s="3">
        <f>F18*(1+Assumptions!B5+Assumptions!B6+Assumptions!B7)</f>
        <v>422164.75345000002</v>
      </c>
      <c r="H18" s="3">
        <f>G18*(1+Assumptions!B8+Assumptions!B9)</f>
        <v>485489.46646750008</v>
      </c>
      <c r="I18" s="3">
        <f t="shared" si="1"/>
        <v>40457.45553895834</v>
      </c>
      <c r="J18" s="3">
        <f t="shared" si="2"/>
        <v>242744.73323375004</v>
      </c>
      <c r="K18" s="16">
        <f t="shared" si="3"/>
        <v>485489.46646750008</v>
      </c>
    </row>
    <row r="19" spans="1:11" x14ac:dyDescent="0.35">
      <c r="A19" s="8" t="str">
        <f>'Livestock Count'!A19</f>
        <v>Kerala</v>
      </c>
      <c r="B19" s="1">
        <f>'Livestock Count'!F19</f>
        <v>103863</v>
      </c>
      <c r="C19" s="3">
        <f>B19*Assumptions!B2*Assumptions!B3</f>
        <v>25706.092500000002</v>
      </c>
      <c r="D19" s="3">
        <f>(B19+C19)*Assumptions!B4</f>
        <v>123090.637875</v>
      </c>
      <c r="E19" s="3">
        <v>0</v>
      </c>
      <c r="F19" s="3">
        <f t="shared" si="0"/>
        <v>123090.637875</v>
      </c>
      <c r="G19" s="3">
        <f>F19*(1+Assumptions!B5+Assumptions!B6+Assumptions!B7)</f>
        <v>135399.70166250001</v>
      </c>
      <c r="H19" s="3">
        <f>G19*(1+Assumptions!B8+Assumptions!B9)</f>
        <v>155709.65691187503</v>
      </c>
      <c r="I19" s="3">
        <f t="shared" si="1"/>
        <v>12975.804742656253</v>
      </c>
      <c r="J19" s="3">
        <f t="shared" si="2"/>
        <v>77854.828455937517</v>
      </c>
      <c r="K19" s="16">
        <f t="shared" si="3"/>
        <v>155709.65691187503</v>
      </c>
    </row>
    <row r="20" spans="1:11" x14ac:dyDescent="0.35">
      <c r="A20" s="8" t="str">
        <f>'Livestock Count'!A20</f>
        <v>Lakshadweep</v>
      </c>
      <c r="B20" s="1">
        <f>'Livestock Count'!F20</f>
        <v>0</v>
      </c>
      <c r="C20" s="3">
        <f>B20*Assumptions!B2*Assumptions!B3</f>
        <v>0</v>
      </c>
      <c r="D20" s="3">
        <f>(B20+C20)*Assumptions!B4</f>
        <v>0</v>
      </c>
      <c r="E20" s="3">
        <v>0</v>
      </c>
      <c r="F20" s="3">
        <f t="shared" si="0"/>
        <v>0</v>
      </c>
      <c r="G20" s="3">
        <f>F20*(1+Assumptions!B5+Assumptions!B6+Assumptions!B7)</f>
        <v>0</v>
      </c>
      <c r="H20" s="3">
        <f>G20*(1+Assumptions!B8+Assumptions!B9)</f>
        <v>0</v>
      </c>
      <c r="I20" s="3">
        <f t="shared" si="1"/>
        <v>0</v>
      </c>
      <c r="J20" s="3">
        <f t="shared" si="2"/>
        <v>0</v>
      </c>
      <c r="K20" s="16">
        <f t="shared" si="3"/>
        <v>0</v>
      </c>
    </row>
    <row r="21" spans="1:11" x14ac:dyDescent="0.35">
      <c r="A21" s="8" t="str">
        <f>'Livestock Count'!A21</f>
        <v>Madhya Pradesh</v>
      </c>
      <c r="B21" s="1">
        <f>'Livestock Count'!F21</f>
        <v>164616</v>
      </c>
      <c r="C21" s="3">
        <f>B21*Assumptions!B2*Assumptions!B3</f>
        <v>40742.46</v>
      </c>
      <c r="D21" s="3">
        <f>(B21+C21)*Assumptions!B4</f>
        <v>195090.53699999998</v>
      </c>
      <c r="E21" s="3">
        <v>0</v>
      </c>
      <c r="F21" s="3">
        <f t="shared" si="0"/>
        <v>195090.53699999998</v>
      </c>
      <c r="G21" s="3">
        <f>F21*(1+Assumptions!B5+Assumptions!B6+Assumptions!B7)</f>
        <v>214599.5907</v>
      </c>
      <c r="H21" s="3">
        <f>G21*(1+Assumptions!B8+Assumptions!B9)</f>
        <v>246789.52930500003</v>
      </c>
      <c r="I21" s="3">
        <f t="shared" si="1"/>
        <v>20565.794108750004</v>
      </c>
      <c r="J21" s="3">
        <f t="shared" si="2"/>
        <v>123394.76465250002</v>
      </c>
      <c r="K21" s="16">
        <f t="shared" si="3"/>
        <v>246789.52930500003</v>
      </c>
    </row>
    <row r="22" spans="1:11" x14ac:dyDescent="0.35">
      <c r="A22" s="8" t="str">
        <f>'Livestock Count'!A22</f>
        <v>Maharashtra</v>
      </c>
      <c r="B22" s="1">
        <f>'Livestock Count'!F22</f>
        <v>161000</v>
      </c>
      <c r="C22" s="3">
        <f>B22*Assumptions!B2*Assumptions!B3</f>
        <v>39847.5</v>
      </c>
      <c r="D22" s="3">
        <f>(B22+C22)*Assumptions!B4</f>
        <v>190805.125</v>
      </c>
      <c r="E22" s="3">
        <v>0</v>
      </c>
      <c r="F22" s="3">
        <f t="shared" si="0"/>
        <v>190805.125</v>
      </c>
      <c r="G22" s="3">
        <f>F22*(1+Assumptions!B5+Assumptions!B6+Assumptions!B7)</f>
        <v>209885.63750000001</v>
      </c>
      <c r="H22" s="3">
        <f>G22*(1+Assumptions!B8+Assumptions!B9)</f>
        <v>241368.48312500003</v>
      </c>
      <c r="I22" s="3">
        <f t="shared" si="1"/>
        <v>20114.04026041667</v>
      </c>
      <c r="J22" s="3">
        <f t="shared" si="2"/>
        <v>120684.24156250001</v>
      </c>
      <c r="K22" s="16">
        <f t="shared" si="3"/>
        <v>241368.48312500003</v>
      </c>
    </row>
    <row r="23" spans="1:11" x14ac:dyDescent="0.35">
      <c r="A23" s="8" t="str">
        <f>'Livestock Count'!A23</f>
        <v>Manipur</v>
      </c>
      <c r="B23" s="1">
        <f>'Livestock Count'!F23</f>
        <v>235255</v>
      </c>
      <c r="C23" s="3">
        <f>B23*Assumptions!B2*Assumptions!B3</f>
        <v>58225.61250000001</v>
      </c>
      <c r="D23" s="3">
        <f>(B23+C23)*Assumptions!B4</f>
        <v>278806.58187499997</v>
      </c>
      <c r="E23" s="3">
        <v>0</v>
      </c>
      <c r="F23" s="3">
        <f t="shared" si="0"/>
        <v>278806.58187499997</v>
      </c>
      <c r="G23" s="3">
        <f>F23*(1+Assumptions!B5+Assumptions!B6+Assumptions!B7)</f>
        <v>306687.2400625</v>
      </c>
      <c r="H23" s="3">
        <f>G23*(1+Assumptions!B8+Assumptions!B9)</f>
        <v>352690.32607187505</v>
      </c>
      <c r="I23" s="3">
        <f t="shared" si="1"/>
        <v>29390.860505989589</v>
      </c>
      <c r="J23" s="3">
        <f t="shared" si="2"/>
        <v>176345.16303593753</v>
      </c>
      <c r="K23" s="16">
        <f t="shared" si="3"/>
        <v>352690.32607187505</v>
      </c>
    </row>
    <row r="24" spans="1:11" x14ac:dyDescent="0.35">
      <c r="A24" s="8" t="str">
        <f>'Livestock Count'!A24</f>
        <v>Meghalaya</v>
      </c>
      <c r="B24" s="1">
        <f>'Livestock Count'!F24</f>
        <v>706364</v>
      </c>
      <c r="C24" s="3">
        <f>B24*Assumptions!B2*Assumptions!B3</f>
        <v>174825.09</v>
      </c>
      <c r="D24" s="3">
        <f>(B24+C24)*Assumptions!B4</f>
        <v>837129.63549999997</v>
      </c>
      <c r="E24" s="3">
        <v>0</v>
      </c>
      <c r="F24" s="3">
        <f t="shared" si="0"/>
        <v>837129.63549999997</v>
      </c>
      <c r="G24" s="3">
        <f>F24*(1+Assumptions!B5+Assumptions!B6+Assumptions!B7)</f>
        <v>920842.59905000008</v>
      </c>
      <c r="H24" s="3">
        <f>G24*(1+Assumptions!B8+Assumptions!B9)</f>
        <v>1058968.9889075002</v>
      </c>
      <c r="I24" s="3">
        <f t="shared" si="1"/>
        <v>88247.415742291676</v>
      </c>
      <c r="J24" s="3">
        <f t="shared" si="2"/>
        <v>529484.49445375009</v>
      </c>
      <c r="K24" s="16">
        <f t="shared" si="3"/>
        <v>1058968.9889075002</v>
      </c>
    </row>
    <row r="25" spans="1:11" x14ac:dyDescent="0.35">
      <c r="A25" s="8" t="str">
        <f>'Livestock Count'!A25</f>
        <v>Mizoram</v>
      </c>
      <c r="B25" s="1">
        <f>'Livestock Count'!F25</f>
        <v>292465</v>
      </c>
      <c r="C25" s="3">
        <f>B25*Assumptions!B2*Assumptions!B3</f>
        <v>72385.087500000009</v>
      </c>
      <c r="D25" s="3">
        <f>(B25+C25)*Assumptions!B4</f>
        <v>346607.583125</v>
      </c>
      <c r="E25" s="3">
        <v>0</v>
      </c>
      <c r="F25" s="3">
        <f t="shared" si="0"/>
        <v>346607.583125</v>
      </c>
      <c r="G25" s="3">
        <f>F25*(1+Assumptions!B5+Assumptions!B6+Assumptions!B7)</f>
        <v>381268.34143750003</v>
      </c>
      <c r="H25" s="3">
        <f>G25*(1+Assumptions!B8+Assumptions!B9)</f>
        <v>438458.59265312506</v>
      </c>
      <c r="I25" s="3">
        <f t="shared" si="1"/>
        <v>36538.216054427088</v>
      </c>
      <c r="J25" s="3">
        <f t="shared" si="2"/>
        <v>219229.29632656253</v>
      </c>
      <c r="K25" s="16">
        <f t="shared" si="3"/>
        <v>438458.59265312506</v>
      </c>
    </row>
    <row r="26" spans="1:11" x14ac:dyDescent="0.35">
      <c r="A26" s="8" t="str">
        <f>'Livestock Count'!A26</f>
        <v>Nagaland</v>
      </c>
      <c r="B26" s="1">
        <f>'Livestock Count'!F26</f>
        <v>404695</v>
      </c>
      <c r="C26" s="3">
        <f>B26*Assumptions!B2*Assumptions!B3</f>
        <v>100162.01250000001</v>
      </c>
      <c r="D26" s="3">
        <f>(B26+C26)*Assumptions!B4</f>
        <v>479614.16187499999</v>
      </c>
      <c r="E26" s="3">
        <v>0</v>
      </c>
      <c r="F26" s="3">
        <f t="shared" si="0"/>
        <v>479614.16187499999</v>
      </c>
      <c r="G26" s="3">
        <f>F26*(1+Assumptions!B5+Assumptions!B6+Assumptions!B7)</f>
        <v>527575.57806249999</v>
      </c>
      <c r="H26" s="3">
        <f>G26*(1+Assumptions!B8+Assumptions!B9)</f>
        <v>606711.91477187502</v>
      </c>
      <c r="I26" s="3">
        <f t="shared" si="1"/>
        <v>50559.326230989587</v>
      </c>
      <c r="J26" s="3">
        <f t="shared" si="2"/>
        <v>303355.95738593751</v>
      </c>
      <c r="K26" s="16">
        <f t="shared" si="3"/>
        <v>606711.91477187502</v>
      </c>
    </row>
    <row r="27" spans="1:11" x14ac:dyDescent="0.35">
      <c r="A27" s="8" t="str">
        <f>'Livestock Count'!A27</f>
        <v>Odisha</v>
      </c>
      <c r="B27" s="1">
        <f>'Livestock Count'!F27</f>
        <v>135162</v>
      </c>
      <c r="C27" s="3">
        <f>B27*Assumptions!B2*Assumptions!B3</f>
        <v>33452.595000000001</v>
      </c>
      <c r="D27" s="3">
        <f>(B27+C27)*Assumptions!B4</f>
        <v>160183.86525</v>
      </c>
      <c r="E27" s="3">
        <v>0</v>
      </c>
      <c r="F27" s="3">
        <f t="shared" si="0"/>
        <v>160183.86525</v>
      </c>
      <c r="G27" s="3">
        <f>F27*(1+Assumptions!B5+Assumptions!B6+Assumptions!B7)</f>
        <v>176202.25177500001</v>
      </c>
      <c r="H27" s="3">
        <f>G27*(1+Assumptions!B8+Assumptions!B9)</f>
        <v>202632.58954125002</v>
      </c>
      <c r="I27" s="3">
        <f t="shared" si="1"/>
        <v>16886.049128437502</v>
      </c>
      <c r="J27" s="3">
        <f t="shared" si="2"/>
        <v>101316.29477062501</v>
      </c>
      <c r="K27" s="16">
        <f t="shared" si="3"/>
        <v>202632.58954125002</v>
      </c>
    </row>
    <row r="28" spans="1:11" x14ac:dyDescent="0.35">
      <c r="A28" s="8" t="str">
        <f>'Livestock Count'!A28</f>
        <v>Puducherry</v>
      </c>
      <c r="B28" s="1">
        <f>'Livestock Count'!F28</f>
        <v>880</v>
      </c>
      <c r="C28" s="3">
        <f>B28*Assumptions!B2*Assumptions!B3</f>
        <v>217.80000000000004</v>
      </c>
      <c r="D28" s="3">
        <f>(B28+C28)*Assumptions!B4</f>
        <v>1042.9099999999999</v>
      </c>
      <c r="E28" s="3">
        <v>0</v>
      </c>
      <c r="F28" s="3">
        <f t="shared" si="0"/>
        <v>1042.9099999999999</v>
      </c>
      <c r="G28" s="3">
        <f>F28*(1+Assumptions!B5+Assumptions!B6+Assumptions!B7)</f>
        <v>1147.201</v>
      </c>
      <c r="H28" s="3">
        <f>G28*(1+Assumptions!B8+Assumptions!B9)</f>
        <v>1319.2811500000003</v>
      </c>
      <c r="I28" s="3">
        <f t="shared" si="1"/>
        <v>109.94009583333336</v>
      </c>
      <c r="J28" s="3">
        <f t="shared" si="2"/>
        <v>659.64057500000013</v>
      </c>
      <c r="K28" s="16">
        <f t="shared" si="3"/>
        <v>1319.2811500000003</v>
      </c>
    </row>
    <row r="29" spans="1:11" x14ac:dyDescent="0.35">
      <c r="A29" s="8" t="str">
        <f>'Livestock Count'!A29</f>
        <v>Punjab</v>
      </c>
      <c r="B29" s="1">
        <f>'Livestock Count'!F29</f>
        <v>52961</v>
      </c>
      <c r="C29" s="3">
        <f>B29*Assumptions!B2*Assumptions!B3</f>
        <v>13107.847500000002</v>
      </c>
      <c r="D29" s="3">
        <f>(B29+C29)*Assumptions!B4</f>
        <v>62765.405124999997</v>
      </c>
      <c r="E29" s="3">
        <v>0</v>
      </c>
      <c r="F29" s="3">
        <f t="shared" si="0"/>
        <v>62765.405124999997</v>
      </c>
      <c r="G29" s="3">
        <f>F29*(1+Assumptions!B5+Assumptions!B6+Assumptions!B7)</f>
        <v>69041.945637500001</v>
      </c>
      <c r="H29" s="3">
        <f>G29*(1+Assumptions!B8+Assumptions!B9)</f>
        <v>79398.237483125005</v>
      </c>
      <c r="I29" s="3">
        <f t="shared" si="1"/>
        <v>6616.5197902604168</v>
      </c>
      <c r="J29" s="3">
        <f t="shared" si="2"/>
        <v>39699.118741562503</v>
      </c>
      <c r="K29" s="16">
        <f t="shared" si="3"/>
        <v>79398.237483125005</v>
      </c>
    </row>
    <row r="30" spans="1:11" x14ac:dyDescent="0.35">
      <c r="A30" s="8" t="str">
        <f>'Livestock Count'!A30</f>
        <v>Rajasthan</v>
      </c>
      <c r="B30" s="1">
        <f>'Livestock Count'!F30</f>
        <v>154808</v>
      </c>
      <c r="C30" s="3">
        <f>B30*Assumptions!B2*Assumptions!B3</f>
        <v>38314.980000000003</v>
      </c>
      <c r="D30" s="3">
        <f>(B30+C30)*Assumptions!B4</f>
        <v>183466.83100000001</v>
      </c>
      <c r="E30" s="3">
        <v>0</v>
      </c>
      <c r="F30" s="3">
        <f t="shared" si="0"/>
        <v>183466.83100000001</v>
      </c>
      <c r="G30" s="3">
        <f>F30*(1+Assumptions!B5+Assumptions!B6+Assumptions!B7)</f>
        <v>201813.51410000003</v>
      </c>
      <c r="H30" s="3">
        <f>G30*(1+Assumptions!B8+Assumptions!B9)</f>
        <v>232085.54121500006</v>
      </c>
      <c r="I30" s="3">
        <f t="shared" si="1"/>
        <v>19340.461767916673</v>
      </c>
      <c r="J30" s="3">
        <f t="shared" si="2"/>
        <v>116042.77060750003</v>
      </c>
      <c r="K30" s="16">
        <f t="shared" si="3"/>
        <v>232085.54121500006</v>
      </c>
    </row>
    <row r="31" spans="1:11" x14ac:dyDescent="0.35">
      <c r="A31" s="8" t="str">
        <f>'Livestock Count'!A31</f>
        <v>Sikkim</v>
      </c>
      <c r="B31" s="1">
        <f>'Livestock Count'!F31</f>
        <v>27320</v>
      </c>
      <c r="C31" s="3">
        <f>B31*Assumptions!B2*Assumptions!B3</f>
        <v>6761.7000000000007</v>
      </c>
      <c r="D31" s="3">
        <f>(B31+C31)*Assumptions!B4</f>
        <v>32377.614999999994</v>
      </c>
      <c r="E31" s="3">
        <v>0</v>
      </c>
      <c r="F31" s="3">
        <f t="shared" si="0"/>
        <v>32377.614999999994</v>
      </c>
      <c r="G31" s="3">
        <f>F31*(1+Assumptions!B5+Assumptions!B6+Assumptions!B7)</f>
        <v>35615.376499999998</v>
      </c>
      <c r="H31" s="3">
        <f>G31*(1+Assumptions!B8+Assumptions!B9)</f>
        <v>40957.682975000003</v>
      </c>
      <c r="I31" s="3">
        <f t="shared" si="1"/>
        <v>3413.1402479166668</v>
      </c>
      <c r="J31" s="3">
        <f t="shared" si="2"/>
        <v>20478.841487500002</v>
      </c>
      <c r="K31" s="16">
        <f t="shared" si="3"/>
        <v>40957.682975000003</v>
      </c>
    </row>
    <row r="32" spans="1:11" x14ac:dyDescent="0.35">
      <c r="A32" s="8" t="str">
        <f>'Livestock Count'!A32</f>
        <v>Tamil Nadu</v>
      </c>
      <c r="B32" s="1">
        <f>'Livestock Count'!F32</f>
        <v>66772</v>
      </c>
      <c r="C32" s="3">
        <f>B32*Assumptions!B2*Assumptions!B3</f>
        <v>16526.070000000003</v>
      </c>
      <c r="D32" s="3">
        <f>(B32+C32)*Assumptions!B4</f>
        <v>79133.166500000007</v>
      </c>
      <c r="E32" s="3">
        <v>0</v>
      </c>
      <c r="F32" s="3">
        <f t="shared" si="0"/>
        <v>79133.166500000007</v>
      </c>
      <c r="G32" s="3">
        <f>F32*(1+Assumptions!B5+Assumptions!B6+Assumptions!B7)</f>
        <v>87046.483150000015</v>
      </c>
      <c r="H32" s="3">
        <f>G32*(1+Assumptions!B8+Assumptions!B9)</f>
        <v>100103.45562250003</v>
      </c>
      <c r="I32" s="3">
        <f t="shared" si="1"/>
        <v>8341.9546352083362</v>
      </c>
      <c r="J32" s="3">
        <f t="shared" si="2"/>
        <v>50051.727811250013</v>
      </c>
      <c r="K32" s="16">
        <f t="shared" si="3"/>
        <v>100103.45562250003</v>
      </c>
    </row>
    <row r="33" spans="1:11" x14ac:dyDescent="0.35">
      <c r="A33" s="8" t="str">
        <f>'Livestock Count'!A33</f>
        <v>Telangana</v>
      </c>
      <c r="B33" s="1">
        <f>'Livestock Count'!F33</f>
        <v>177992</v>
      </c>
      <c r="C33" s="3">
        <f>B33*Assumptions!B2*Assumptions!B3</f>
        <v>44053.020000000004</v>
      </c>
      <c r="D33" s="3">
        <f>(B33+C33)*Assumptions!B4</f>
        <v>210942.769</v>
      </c>
      <c r="E33" s="3">
        <v>0</v>
      </c>
      <c r="F33" s="3">
        <f t="shared" si="0"/>
        <v>210942.769</v>
      </c>
      <c r="G33" s="3">
        <f>F33*(1+Assumptions!B5+Assumptions!B6+Assumptions!B7)</f>
        <v>232037.04590000003</v>
      </c>
      <c r="H33" s="3">
        <f>G33*(1+Assumptions!B8+Assumptions!B9)</f>
        <v>266842.60278500005</v>
      </c>
      <c r="I33" s="3">
        <f t="shared" si="1"/>
        <v>22236.883565416672</v>
      </c>
      <c r="J33" s="3">
        <f t="shared" si="2"/>
        <v>133421.30139250003</v>
      </c>
      <c r="K33" s="16">
        <f t="shared" si="3"/>
        <v>266842.60278500005</v>
      </c>
    </row>
    <row r="34" spans="1:11" x14ac:dyDescent="0.35">
      <c r="A34" s="8" t="str">
        <f>'Livestock Count'!A34</f>
        <v>Tripura</v>
      </c>
      <c r="B34" s="1">
        <f>'Livestock Count'!F34</f>
        <v>206035</v>
      </c>
      <c r="C34" s="3">
        <f>B34*Assumptions!B2*Assumptions!B3</f>
        <v>50993.662500000006</v>
      </c>
      <c r="D34" s="3">
        <f>(B34+C34)*Assumptions!B4</f>
        <v>244177.229375</v>
      </c>
      <c r="E34" s="3">
        <v>0</v>
      </c>
      <c r="F34" s="3">
        <f t="shared" si="0"/>
        <v>244177.229375</v>
      </c>
      <c r="G34" s="3">
        <f>F34*(1+Assumptions!B5+Assumptions!B6+Assumptions!B7)</f>
        <v>268594.95231250004</v>
      </c>
      <c r="H34" s="3">
        <f>G34*(1+Assumptions!B8+Assumptions!B9)</f>
        <v>308884.19515937509</v>
      </c>
      <c r="I34" s="3">
        <f t="shared" si="1"/>
        <v>25740.349596614589</v>
      </c>
      <c r="J34" s="3">
        <f t="shared" si="2"/>
        <v>154442.09757968754</v>
      </c>
      <c r="K34" s="16">
        <f t="shared" si="3"/>
        <v>308884.19515937509</v>
      </c>
    </row>
    <row r="35" spans="1:11" x14ac:dyDescent="0.35">
      <c r="A35" s="8" t="str">
        <f>'Livestock Count'!A35</f>
        <v>Uttar Pradesh</v>
      </c>
      <c r="B35" s="1">
        <f>'Livestock Count'!F35</f>
        <v>408678</v>
      </c>
      <c r="C35" s="3">
        <f>B35*Assumptions!B2*Assumptions!B3</f>
        <v>101147.80500000001</v>
      </c>
      <c r="D35" s="3">
        <f>(B35+C35)*Assumptions!B4</f>
        <v>484334.51474999997</v>
      </c>
      <c r="E35" s="3">
        <v>0</v>
      </c>
      <c r="F35" s="3">
        <f t="shared" si="0"/>
        <v>484334.51474999997</v>
      </c>
      <c r="G35" s="3">
        <f>F35*(1+Assumptions!B5+Assumptions!B6+Assumptions!B7)</f>
        <v>532767.96622499998</v>
      </c>
      <c r="H35" s="3">
        <f>G35*(1+Assumptions!B8+Assumptions!B9)</f>
        <v>612683.16115875007</v>
      </c>
      <c r="I35" s="3">
        <f t="shared" si="1"/>
        <v>51056.930096562508</v>
      </c>
      <c r="J35" s="3">
        <f t="shared" si="2"/>
        <v>306341.58057937503</v>
      </c>
      <c r="K35" s="16">
        <f t="shared" si="3"/>
        <v>612683.16115875007</v>
      </c>
    </row>
    <row r="36" spans="1:11" x14ac:dyDescent="0.35">
      <c r="A36" s="8" t="str">
        <f>'Livestock Count'!A36</f>
        <v>Uttarakhand</v>
      </c>
      <c r="B36" s="1">
        <f>'Livestock Count'!F36</f>
        <v>17659</v>
      </c>
      <c r="C36" s="3">
        <f>B36*Assumptions!B2*Assumptions!B3</f>
        <v>4370.6025000000009</v>
      </c>
      <c r="D36" s="3">
        <f>(B36+C36)*Assumptions!B4</f>
        <v>20928.122374999999</v>
      </c>
      <c r="E36" s="3">
        <v>0</v>
      </c>
      <c r="F36" s="3">
        <f t="shared" si="0"/>
        <v>20928.122374999999</v>
      </c>
      <c r="G36" s="3">
        <f>F36*(1+Assumptions!B5+Assumptions!B6+Assumptions!B7)</f>
        <v>23020.934612500001</v>
      </c>
      <c r="H36" s="3">
        <f>G36*(1+Assumptions!B8+Assumptions!B9)</f>
        <v>26474.074804375003</v>
      </c>
      <c r="I36" s="3">
        <f t="shared" si="1"/>
        <v>2206.1729003645837</v>
      </c>
      <c r="J36" s="3">
        <f t="shared" si="2"/>
        <v>13237.037402187501</v>
      </c>
      <c r="K36" s="16">
        <f t="shared" si="3"/>
        <v>26474.074804375003</v>
      </c>
    </row>
    <row r="37" spans="1:11" x14ac:dyDescent="0.35">
      <c r="A37" s="13" t="str">
        <f>'Livestock Count'!A37</f>
        <v>West Bengal</v>
      </c>
      <c r="B37" s="14">
        <f>'Livestock Count'!F37</f>
        <v>540356</v>
      </c>
      <c r="C37" s="17">
        <f>B37*Assumptions!B2*Assumptions!B3</f>
        <v>133738.11000000002</v>
      </c>
      <c r="D37" s="17">
        <f>(B37+C37)*Assumptions!B4</f>
        <v>640389.40449999995</v>
      </c>
      <c r="E37" s="17">
        <v>0</v>
      </c>
      <c r="F37" s="17">
        <f t="shared" si="0"/>
        <v>640389.40449999995</v>
      </c>
      <c r="G37" s="17">
        <f>F37*(1+Assumptions!B5+Assumptions!B6+Assumptions!B7)</f>
        <v>704428.34494999994</v>
      </c>
      <c r="H37" s="17">
        <f>G37*(1+Assumptions!B8+Assumptions!B9)</f>
        <v>810092.59669250005</v>
      </c>
      <c r="I37" s="17">
        <f t="shared" si="1"/>
        <v>67507.716391041671</v>
      </c>
      <c r="J37" s="17">
        <f t="shared" si="2"/>
        <v>405046.29834625003</v>
      </c>
      <c r="K37" s="18">
        <f t="shared" si="3"/>
        <v>810092.59669250005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7"/>
  <sheetViews>
    <sheetView zoomScale="72" workbookViewId="0">
      <selection sqref="A1:XFD1048576"/>
    </sheetView>
  </sheetViews>
  <sheetFormatPr defaultRowHeight="14.5" x14ac:dyDescent="0.35"/>
  <cols>
    <col min="1" max="3" width="22" customWidth="1"/>
    <col min="4" max="4" width="26.453125" customWidth="1"/>
    <col min="5" max="5" width="22" customWidth="1"/>
    <col min="6" max="6" width="24.81640625" customWidth="1"/>
    <col min="7" max="7" width="22" customWidth="1"/>
    <col min="8" max="8" width="23.54296875" customWidth="1"/>
    <col min="9" max="11" width="22" customWidth="1"/>
  </cols>
  <sheetData>
    <row r="1" spans="1:11" x14ac:dyDescent="0.35">
      <c r="A1" s="24" t="s">
        <v>0</v>
      </c>
      <c r="B1" s="25" t="s">
        <v>100</v>
      </c>
      <c r="C1" s="25" t="s">
        <v>74</v>
      </c>
      <c r="D1" s="25" t="s">
        <v>75</v>
      </c>
      <c r="E1" s="25" t="s">
        <v>101</v>
      </c>
      <c r="F1" s="25" t="s">
        <v>77</v>
      </c>
      <c r="G1" s="25" t="s">
        <v>78</v>
      </c>
      <c r="H1" s="25" t="s">
        <v>79</v>
      </c>
      <c r="I1" s="25" t="s">
        <v>80</v>
      </c>
      <c r="J1" s="25" t="s">
        <v>81</v>
      </c>
      <c r="K1" s="26" t="s">
        <v>82</v>
      </c>
    </row>
    <row r="2" spans="1:11" x14ac:dyDescent="0.35">
      <c r="A2" s="8" t="str">
        <f>'Livestock Count'!A2</f>
        <v>Andaman &amp; Nicobar Islands</v>
      </c>
      <c r="B2" s="1">
        <f>'Livestock Count'!B2</f>
        <v>36438</v>
      </c>
      <c r="C2" s="3">
        <f>B2*Assumptions!B2*Assumptions!B3</f>
        <v>9018.4050000000007</v>
      </c>
      <c r="D2" s="3">
        <f>(B2+C2)*Assumptions!B4</f>
        <v>43183.584749999995</v>
      </c>
      <c r="E2" s="3">
        <v>0</v>
      </c>
      <c r="F2" s="3">
        <f t="shared" ref="F2:F37" si="0">(D2-E2)*1</f>
        <v>43183.584749999995</v>
      </c>
      <c r="G2" s="3">
        <f>F2*(1+Assumptions!B5+Assumptions!B6+Assumptions!B7)</f>
        <v>47501.943224999995</v>
      </c>
      <c r="H2" s="3">
        <f>G2*(1+Assumptions!B8+Assumptions!B9)</f>
        <v>54627.234708750002</v>
      </c>
      <c r="I2" s="3">
        <f t="shared" ref="I2:I37" si="1">H2/12</f>
        <v>4552.2695590624999</v>
      </c>
      <c r="J2" s="3">
        <f t="shared" ref="J2:J37" si="2">H2/2</f>
        <v>27313.617354375001</v>
      </c>
      <c r="K2" s="16">
        <f t="shared" ref="K2:K37" si="3">H2</f>
        <v>54627.234708750002</v>
      </c>
    </row>
    <row r="3" spans="1:11" x14ac:dyDescent="0.35">
      <c r="A3" s="8" t="str">
        <f>'Livestock Count'!A3</f>
        <v>Andhra Pradesh</v>
      </c>
      <c r="B3" s="1">
        <f>'Livestock Count'!B3</f>
        <v>4600087</v>
      </c>
      <c r="C3" s="3">
        <f>B3*Assumptions!B2*Assumptions!B3</f>
        <v>1138521.5325</v>
      </c>
      <c r="D3" s="3">
        <f>(B3+C3)*Assumptions!B4</f>
        <v>5451678.1058749994</v>
      </c>
      <c r="E3" s="3">
        <v>0</v>
      </c>
      <c r="F3" s="3">
        <f t="shared" si="0"/>
        <v>5451678.1058749994</v>
      </c>
      <c r="G3" s="3">
        <f>F3*(1+Assumptions!B5+Assumptions!B6+Assumptions!B7)</f>
        <v>5996845.9164624996</v>
      </c>
      <c r="H3" s="3">
        <f>G3*(1+Assumptions!B8+Assumptions!B9)</f>
        <v>6896372.8039318752</v>
      </c>
      <c r="I3" s="3">
        <f t="shared" si="1"/>
        <v>574697.73366098956</v>
      </c>
      <c r="J3" s="3">
        <f t="shared" si="2"/>
        <v>3448186.4019659376</v>
      </c>
      <c r="K3" s="16">
        <f t="shared" si="3"/>
        <v>6896372.8039318752</v>
      </c>
    </row>
    <row r="4" spans="1:11" x14ac:dyDescent="0.35">
      <c r="A4" s="8" t="str">
        <f>'Livestock Count'!A4</f>
        <v>Arunachal Pradesh</v>
      </c>
      <c r="B4" s="1">
        <f>'Livestock Count'!B4</f>
        <v>339221</v>
      </c>
      <c r="C4" s="3">
        <f>B4*Assumptions!B2*Assumptions!B3</f>
        <v>83957.197500000009</v>
      </c>
      <c r="D4" s="3">
        <f>(B4+C4)*Assumptions!B4</f>
        <v>402019.287625</v>
      </c>
      <c r="E4" s="3">
        <v>0</v>
      </c>
      <c r="F4" s="3">
        <f t="shared" si="0"/>
        <v>402019.287625</v>
      </c>
      <c r="G4" s="3">
        <f>F4*(1+Assumptions!B5+Assumptions!B6+Assumptions!B7)</f>
        <v>442221.21638750006</v>
      </c>
      <c r="H4" s="3">
        <f>G4*(1+Assumptions!B8+Assumptions!B9)</f>
        <v>508554.39884562511</v>
      </c>
      <c r="I4" s="3">
        <f t="shared" si="1"/>
        <v>42379.533237135423</v>
      </c>
      <c r="J4" s="3">
        <f t="shared" si="2"/>
        <v>254277.19942281255</v>
      </c>
      <c r="K4" s="16">
        <f t="shared" si="3"/>
        <v>508554.39884562511</v>
      </c>
    </row>
    <row r="5" spans="1:11" x14ac:dyDescent="0.35">
      <c r="A5" s="8" t="str">
        <f>'Livestock Count'!A5</f>
        <v>Assam</v>
      </c>
      <c r="B5" s="1">
        <f>'Livestock Count'!B5</f>
        <v>10909239</v>
      </c>
      <c r="C5" s="3">
        <f>B5*Assumptions!B2*Assumptions!B3</f>
        <v>2700036.6525000003</v>
      </c>
      <c r="D5" s="3">
        <f>(B5+C5)*Assumptions!B4</f>
        <v>12928811.869874999</v>
      </c>
      <c r="E5" s="3">
        <v>0</v>
      </c>
      <c r="F5" s="3">
        <f t="shared" si="0"/>
        <v>12928811.869874999</v>
      </c>
      <c r="G5" s="3">
        <f>F5*(1+Assumptions!B5+Assumptions!B6+Assumptions!B7)</f>
        <v>14221693.0568625</v>
      </c>
      <c r="H5" s="3">
        <f>G5*(1+Assumptions!B8+Assumptions!B9)</f>
        <v>16354947.015391877</v>
      </c>
      <c r="I5" s="3">
        <f t="shared" si="1"/>
        <v>1362912.2512826563</v>
      </c>
      <c r="J5" s="3">
        <f t="shared" si="2"/>
        <v>8177473.5076959385</v>
      </c>
      <c r="K5" s="16">
        <f t="shared" si="3"/>
        <v>16354947.015391877</v>
      </c>
    </row>
    <row r="6" spans="1:11" x14ac:dyDescent="0.35">
      <c r="A6" s="8" t="str">
        <f>'Livestock Count'!A6</f>
        <v>Bihar</v>
      </c>
      <c r="B6" s="1">
        <f>'Livestock Count'!B6</f>
        <v>15397980</v>
      </c>
      <c r="C6" s="3">
        <f>B6*Assumptions!B2*Assumptions!B3</f>
        <v>3811000.0500000003</v>
      </c>
      <c r="D6" s="3">
        <f>(B6+C6)*Assumptions!B4</f>
        <v>18248531.047499999</v>
      </c>
      <c r="E6" s="3">
        <v>0</v>
      </c>
      <c r="F6" s="3">
        <f t="shared" si="0"/>
        <v>18248531.047499999</v>
      </c>
      <c r="G6" s="3">
        <f>F6*(1+Assumptions!B5+Assumptions!B6+Assumptions!B7)</f>
        <v>20073384.152249999</v>
      </c>
      <c r="H6" s="3">
        <f>G6*(1+Assumptions!B8+Assumptions!B9)</f>
        <v>23084391.775087502</v>
      </c>
      <c r="I6" s="3">
        <f t="shared" si="1"/>
        <v>1923699.3145906252</v>
      </c>
      <c r="J6" s="3">
        <f t="shared" si="2"/>
        <v>11542195.887543751</v>
      </c>
      <c r="K6" s="16">
        <f t="shared" si="3"/>
        <v>23084391.775087502</v>
      </c>
    </row>
    <row r="7" spans="1:11" x14ac:dyDescent="0.35">
      <c r="A7" s="8" t="str">
        <f>'Livestock Count'!A7</f>
        <v>Chandigarh</v>
      </c>
      <c r="B7" s="1">
        <f>'Livestock Count'!B7</f>
        <v>13440</v>
      </c>
      <c r="C7" s="3">
        <f>B7*Assumptions!B2*Assumptions!B3</f>
        <v>3326.4000000000005</v>
      </c>
      <c r="D7" s="3">
        <f>(B7+C7)*Assumptions!B4</f>
        <v>15928.08</v>
      </c>
      <c r="E7" s="3">
        <v>0</v>
      </c>
      <c r="F7" s="3">
        <f t="shared" si="0"/>
        <v>15928.08</v>
      </c>
      <c r="G7" s="3">
        <f>F7*(1+Assumptions!B5+Assumptions!B6+Assumptions!B7)</f>
        <v>17520.888000000003</v>
      </c>
      <c r="H7" s="3">
        <f>G7*(1+Assumptions!B8+Assumptions!B9)</f>
        <v>20149.021200000007</v>
      </c>
      <c r="I7" s="3">
        <f t="shared" si="1"/>
        <v>1679.0851000000005</v>
      </c>
      <c r="J7" s="3">
        <f t="shared" si="2"/>
        <v>10074.510600000003</v>
      </c>
      <c r="K7" s="16">
        <f t="shared" si="3"/>
        <v>20149.021200000007</v>
      </c>
    </row>
    <row r="8" spans="1:11" x14ac:dyDescent="0.35">
      <c r="A8" s="8" t="str">
        <f>'Livestock Count'!A8</f>
        <v>Chhattisgarh</v>
      </c>
      <c r="B8" s="1">
        <f>'Livestock Count'!B8</f>
        <v>9983954</v>
      </c>
      <c r="C8" s="3">
        <f>B8*Assumptions!B2*Assumptions!B3</f>
        <v>2471028.6150000002</v>
      </c>
      <c r="D8" s="3">
        <f>(B8+C8)*Assumptions!B4</f>
        <v>11832233.48425</v>
      </c>
      <c r="E8" s="3">
        <v>0</v>
      </c>
      <c r="F8" s="3">
        <f t="shared" si="0"/>
        <v>11832233.48425</v>
      </c>
      <c r="G8" s="3">
        <f>F8*(1+Assumptions!B5+Assumptions!B6+Assumptions!B7)</f>
        <v>13015456.832675001</v>
      </c>
      <c r="H8" s="3">
        <f>G8*(1+Assumptions!B8+Assumptions!B9)</f>
        <v>14967775.357576253</v>
      </c>
      <c r="I8" s="3">
        <f t="shared" si="1"/>
        <v>1247314.6131313543</v>
      </c>
      <c r="J8" s="3">
        <f t="shared" si="2"/>
        <v>7483887.6787881264</v>
      </c>
      <c r="K8" s="16">
        <f t="shared" si="3"/>
        <v>14967775.357576253</v>
      </c>
    </row>
    <row r="9" spans="1:11" x14ac:dyDescent="0.35">
      <c r="A9" s="8" t="str">
        <f>'Livestock Count'!A9</f>
        <v>Dadra &amp; Nagar Haveli</v>
      </c>
      <c r="B9" s="1">
        <f>'Livestock Count'!B9</f>
        <v>39736</v>
      </c>
      <c r="C9" s="3">
        <f>B9*Assumptions!B2*Assumptions!B3</f>
        <v>9834.6600000000017</v>
      </c>
      <c r="D9" s="3">
        <f>(B9+C9)*Assumptions!B4</f>
        <v>47092.127</v>
      </c>
      <c r="E9" s="3">
        <v>0</v>
      </c>
      <c r="F9" s="3">
        <f t="shared" si="0"/>
        <v>47092.127</v>
      </c>
      <c r="G9" s="3">
        <f>F9*(1+Assumptions!B5+Assumptions!B6+Assumptions!B7)</f>
        <v>51801.339700000004</v>
      </c>
      <c r="H9" s="3">
        <f>G9*(1+Assumptions!B8+Assumptions!B9)</f>
        <v>59571.540655000012</v>
      </c>
      <c r="I9" s="3">
        <f t="shared" si="1"/>
        <v>4964.2950545833346</v>
      </c>
      <c r="J9" s="3">
        <f t="shared" si="2"/>
        <v>29785.770327500006</v>
      </c>
      <c r="K9" s="16">
        <f t="shared" si="3"/>
        <v>59571.540655000012</v>
      </c>
    </row>
    <row r="10" spans="1:11" x14ac:dyDescent="0.35">
      <c r="A10" s="8" t="str">
        <f>'Livestock Count'!A10</f>
        <v>Daman &amp; Diu</v>
      </c>
      <c r="B10" s="1">
        <f>'Livestock Count'!B10</f>
        <v>1840</v>
      </c>
      <c r="C10" s="3">
        <f>B10*Assumptions!B2*Assumptions!B3</f>
        <v>455.40000000000003</v>
      </c>
      <c r="D10" s="3">
        <f>(B10+C10)*Assumptions!B4</f>
        <v>2180.63</v>
      </c>
      <c r="E10" s="3">
        <v>0</v>
      </c>
      <c r="F10" s="3">
        <f t="shared" si="0"/>
        <v>2180.63</v>
      </c>
      <c r="G10" s="3">
        <f>F10*(1+Assumptions!B5+Assumptions!B6+Assumptions!B7)</f>
        <v>2398.6930000000002</v>
      </c>
      <c r="H10" s="3">
        <f>G10*(1+Assumptions!B8+Assumptions!B9)</f>
        <v>2758.4969500000007</v>
      </c>
      <c r="I10" s="3">
        <f t="shared" si="1"/>
        <v>229.87474583333338</v>
      </c>
      <c r="J10" s="3">
        <f t="shared" si="2"/>
        <v>1379.2484750000003</v>
      </c>
      <c r="K10" s="16">
        <f t="shared" si="3"/>
        <v>2758.4969500000007</v>
      </c>
    </row>
    <row r="11" spans="1:11" x14ac:dyDescent="0.35">
      <c r="A11" s="8" t="str">
        <f>'Livestock Count'!A11</f>
        <v>Delhi</v>
      </c>
      <c r="B11" s="1">
        <f>'Livestock Count'!B11</f>
        <v>86433</v>
      </c>
      <c r="C11" s="3">
        <f>B11*Assumptions!B2*Assumptions!B3</f>
        <v>21392.1675</v>
      </c>
      <c r="D11" s="3">
        <f>(B11+C11)*Assumptions!B4</f>
        <v>102433.90912499999</v>
      </c>
      <c r="E11" s="3">
        <v>0</v>
      </c>
      <c r="F11" s="3">
        <f t="shared" si="0"/>
        <v>102433.90912499999</v>
      </c>
      <c r="G11" s="3">
        <f>F11*(1+Assumptions!B5+Assumptions!B6+Assumptions!B7)</f>
        <v>112677.3000375</v>
      </c>
      <c r="H11" s="3">
        <f>G11*(1+Assumptions!B8+Assumptions!B9)</f>
        <v>129578.89504312501</v>
      </c>
      <c r="I11" s="3">
        <f t="shared" si="1"/>
        <v>10798.241253593751</v>
      </c>
      <c r="J11" s="3">
        <f t="shared" si="2"/>
        <v>64789.447521562506</v>
      </c>
      <c r="K11" s="16">
        <f t="shared" si="3"/>
        <v>129578.89504312501</v>
      </c>
    </row>
    <row r="12" spans="1:11" x14ac:dyDescent="0.35">
      <c r="A12" s="8" t="str">
        <f>'Livestock Count'!A12</f>
        <v>Goa</v>
      </c>
      <c r="B12" s="1">
        <f>'Livestock Count'!B12</f>
        <v>60247</v>
      </c>
      <c r="C12" s="3">
        <f>B12*Assumptions!B2*Assumptions!B3</f>
        <v>14911.132500000003</v>
      </c>
      <c r="D12" s="3">
        <f>(B12+C12)*Assumptions!B4</f>
        <v>71400.225875000004</v>
      </c>
      <c r="E12" s="3">
        <v>0</v>
      </c>
      <c r="F12" s="3">
        <f t="shared" si="0"/>
        <v>71400.225875000004</v>
      </c>
      <c r="G12" s="3">
        <f>F12*(1+Assumptions!B5+Assumptions!B6+Assumptions!B7)</f>
        <v>78540.248462500007</v>
      </c>
      <c r="H12" s="3">
        <f>G12*(1+Assumptions!B8+Assumptions!B9)</f>
        <v>90321.285731875018</v>
      </c>
      <c r="I12" s="3">
        <f t="shared" si="1"/>
        <v>7526.7738109895845</v>
      </c>
      <c r="J12" s="3">
        <f t="shared" si="2"/>
        <v>45160.642865937509</v>
      </c>
      <c r="K12" s="16">
        <f t="shared" si="3"/>
        <v>90321.285731875018</v>
      </c>
    </row>
    <row r="13" spans="1:11" x14ac:dyDescent="0.35">
      <c r="A13" s="8" t="str">
        <f>'Livestock Count'!A13</f>
        <v>Gujarat</v>
      </c>
      <c r="B13" s="1">
        <f>'Livestock Count'!B13</f>
        <v>9633637</v>
      </c>
      <c r="C13" s="3">
        <f>B13*Assumptions!B2*Assumptions!B3</f>
        <v>2384325.1575000002</v>
      </c>
      <c r="D13" s="3">
        <f>(B13+C13)*Assumptions!B4</f>
        <v>11417064.049625</v>
      </c>
      <c r="E13" s="3">
        <v>0</v>
      </c>
      <c r="F13" s="3">
        <f t="shared" si="0"/>
        <v>11417064.049625</v>
      </c>
      <c r="G13" s="3">
        <f>F13*(1+Assumptions!B5+Assumptions!B6+Assumptions!B7)</f>
        <v>12558770.454587501</v>
      </c>
      <c r="H13" s="3">
        <f>G13*(1+Assumptions!B8+Assumptions!B9)</f>
        <v>14442586.022775628</v>
      </c>
      <c r="I13" s="3">
        <f t="shared" si="1"/>
        <v>1203548.8352313023</v>
      </c>
      <c r="J13" s="3">
        <f t="shared" si="2"/>
        <v>7221293.0113878138</v>
      </c>
      <c r="K13" s="16">
        <f t="shared" si="3"/>
        <v>14442586.022775628</v>
      </c>
    </row>
    <row r="14" spans="1:11" x14ac:dyDescent="0.35">
      <c r="A14" s="8" t="str">
        <f>'Livestock Count'!A14</f>
        <v>Haryana</v>
      </c>
      <c r="B14" s="1">
        <f>'Livestock Count'!B14</f>
        <v>1928682</v>
      </c>
      <c r="C14" s="3">
        <f>B14*Assumptions!B2*Assumptions!B3</f>
        <v>477348.79500000004</v>
      </c>
      <c r="D14" s="3">
        <f>(B14+C14)*Assumptions!B4</f>
        <v>2285729.2552499999</v>
      </c>
      <c r="E14" s="3">
        <v>0</v>
      </c>
      <c r="F14" s="3">
        <f t="shared" si="0"/>
        <v>2285729.2552499999</v>
      </c>
      <c r="G14" s="3">
        <f>F14*(1+Assumptions!B5+Assumptions!B6+Assumptions!B7)</f>
        <v>2514302.1807750002</v>
      </c>
      <c r="H14" s="3">
        <f>G14*(1+Assumptions!B8+Assumptions!B9)</f>
        <v>2891447.5078912508</v>
      </c>
      <c r="I14" s="3">
        <f t="shared" si="1"/>
        <v>240953.95899093756</v>
      </c>
      <c r="J14" s="3">
        <f t="shared" si="2"/>
        <v>1445723.7539456254</v>
      </c>
      <c r="K14" s="16">
        <f t="shared" si="3"/>
        <v>2891447.5078912508</v>
      </c>
    </row>
    <row r="15" spans="1:11" x14ac:dyDescent="0.35">
      <c r="A15" s="8" t="str">
        <f>'Livestock Count'!A15</f>
        <v>Himachal Pradesh</v>
      </c>
      <c r="B15" s="1">
        <f>'Livestock Count'!B15</f>
        <v>1828017</v>
      </c>
      <c r="C15" s="3">
        <f>B15*Assumptions!B2*Assumptions!B3</f>
        <v>452434.20750000008</v>
      </c>
      <c r="D15" s="3">
        <f>(B15+C15)*Assumptions!B4</f>
        <v>2166428.6471250001</v>
      </c>
      <c r="E15" s="3">
        <v>0</v>
      </c>
      <c r="F15" s="3">
        <f t="shared" si="0"/>
        <v>2166428.6471250001</v>
      </c>
      <c r="G15" s="3">
        <f>F15*(1+Assumptions!B5+Assumptions!B6+Assumptions!B7)</f>
        <v>2383071.5118375001</v>
      </c>
      <c r="H15" s="3">
        <f>G15*(1+Assumptions!B8+Assumptions!B9)</f>
        <v>2740532.2386131254</v>
      </c>
      <c r="I15" s="3">
        <f t="shared" si="1"/>
        <v>228377.68655109379</v>
      </c>
      <c r="J15" s="3">
        <f t="shared" si="2"/>
        <v>1370266.1193065627</v>
      </c>
      <c r="K15" s="16">
        <f t="shared" si="3"/>
        <v>2740532.2386131254</v>
      </c>
    </row>
    <row r="16" spans="1:11" x14ac:dyDescent="0.35">
      <c r="A16" s="8" t="str">
        <f>'Livestock Count'!A16</f>
        <v>Jammu &amp; Kashmir</v>
      </c>
      <c r="B16" s="1">
        <f>'Livestock Count'!B16</f>
        <v>2539240</v>
      </c>
      <c r="C16" s="3">
        <f>B16*Assumptions!B2*Assumptions!B3</f>
        <v>628461.9</v>
      </c>
      <c r="D16" s="3">
        <f>(B16+C16)*Assumptions!B4</f>
        <v>3009316.8049999997</v>
      </c>
      <c r="E16" s="3">
        <v>0</v>
      </c>
      <c r="F16" s="3">
        <f t="shared" si="0"/>
        <v>3009316.8049999997</v>
      </c>
      <c r="G16" s="3">
        <f>F16*(1+Assumptions!B5+Assumptions!B6+Assumptions!B7)</f>
        <v>3310248.4855</v>
      </c>
      <c r="H16" s="3">
        <f>G16*(1+Assumptions!B8+Assumptions!B9)</f>
        <v>3806785.7583250003</v>
      </c>
      <c r="I16" s="3">
        <f t="shared" si="1"/>
        <v>317232.14652708336</v>
      </c>
      <c r="J16" s="3">
        <f t="shared" si="2"/>
        <v>1903392.8791625001</v>
      </c>
      <c r="K16" s="16">
        <f t="shared" si="3"/>
        <v>3806785.7583250003</v>
      </c>
    </row>
    <row r="17" spans="1:11" x14ac:dyDescent="0.35">
      <c r="A17" s="8" t="str">
        <f>'Livestock Count'!A17</f>
        <v>Jharkhand</v>
      </c>
      <c r="B17" s="1">
        <f>'Livestock Count'!B17</f>
        <v>11223052</v>
      </c>
      <c r="C17" s="3">
        <f>B17*Assumptions!B2*Assumptions!B3</f>
        <v>2777705.37</v>
      </c>
      <c r="D17" s="3">
        <f>(B17+C17)*Assumptions!B4</f>
        <v>13300719.501500001</v>
      </c>
      <c r="E17" s="3">
        <v>0</v>
      </c>
      <c r="F17" s="3">
        <f t="shared" si="0"/>
        <v>13300719.501500001</v>
      </c>
      <c r="G17" s="3">
        <f>F17*(1+Assumptions!B5+Assumptions!B6+Assumptions!B7)</f>
        <v>14630791.451650003</v>
      </c>
      <c r="H17" s="3">
        <f>G17*(1+Assumptions!B8+Assumptions!B9)</f>
        <v>16825410.169397507</v>
      </c>
      <c r="I17" s="3">
        <f t="shared" si="1"/>
        <v>1402117.5141164588</v>
      </c>
      <c r="J17" s="3">
        <f t="shared" si="2"/>
        <v>8412705.0846987534</v>
      </c>
      <c r="K17" s="16">
        <f t="shared" si="3"/>
        <v>16825410.169397507</v>
      </c>
    </row>
    <row r="18" spans="1:11" x14ac:dyDescent="0.35">
      <c r="A18" s="8" t="str">
        <f>'Livestock Count'!A18</f>
        <v>Karnataka</v>
      </c>
      <c r="B18" s="1">
        <f>'Livestock Count'!B18</f>
        <v>8469004</v>
      </c>
      <c r="C18" s="3">
        <f>B18*Assumptions!B2*Assumptions!B3</f>
        <v>2096078.4900000002</v>
      </c>
      <c r="D18" s="3">
        <f>(B18+C18)*Assumptions!B4</f>
        <v>10036828.365499999</v>
      </c>
      <c r="E18" s="3">
        <v>0</v>
      </c>
      <c r="F18" s="3">
        <f t="shared" si="0"/>
        <v>10036828.365499999</v>
      </c>
      <c r="G18" s="3">
        <f>F18*(1+Assumptions!B5+Assumptions!B6+Assumptions!B7)</f>
        <v>11040511.20205</v>
      </c>
      <c r="H18" s="3">
        <f>G18*(1+Assumptions!B8+Assumptions!B9)</f>
        <v>12696587.882357502</v>
      </c>
      <c r="I18" s="3">
        <f t="shared" si="1"/>
        <v>1058048.9901964585</v>
      </c>
      <c r="J18" s="3">
        <f t="shared" si="2"/>
        <v>6348293.9411787512</v>
      </c>
      <c r="K18" s="16">
        <f t="shared" si="3"/>
        <v>12696587.882357502</v>
      </c>
    </row>
    <row r="19" spans="1:11" x14ac:dyDescent="0.35">
      <c r="A19" s="8" t="str">
        <f>'Livestock Count'!A19</f>
        <v>Kerala</v>
      </c>
      <c r="B19" s="1">
        <f>'Livestock Count'!B19</f>
        <v>1341996</v>
      </c>
      <c r="C19" s="3">
        <f>B19*Assumptions!B2*Assumptions!B3</f>
        <v>332144.01</v>
      </c>
      <c r="D19" s="3">
        <f>(B19+C19)*Assumptions!B4</f>
        <v>1590433.0094999999</v>
      </c>
      <c r="E19" s="3">
        <v>0</v>
      </c>
      <c r="F19" s="3">
        <f t="shared" si="0"/>
        <v>1590433.0094999999</v>
      </c>
      <c r="G19" s="3">
        <f>F19*(1+Assumptions!B5+Assumptions!B6+Assumptions!B7)</f>
        <v>1749476.31045</v>
      </c>
      <c r="H19" s="3">
        <f>G19*(1+Assumptions!B8+Assumptions!B9)</f>
        <v>2011897.7570175002</v>
      </c>
      <c r="I19" s="3">
        <f t="shared" si="1"/>
        <v>167658.14641812502</v>
      </c>
      <c r="J19" s="3">
        <f t="shared" si="2"/>
        <v>1005948.8785087501</v>
      </c>
      <c r="K19" s="16">
        <f t="shared" si="3"/>
        <v>2011897.7570175002</v>
      </c>
    </row>
    <row r="20" spans="1:11" x14ac:dyDescent="0.35">
      <c r="A20" s="8" t="str">
        <f>'Livestock Count'!A20</f>
        <v>Lakshadweep</v>
      </c>
      <c r="B20" s="1">
        <f>'Livestock Count'!B20</f>
        <v>2493</v>
      </c>
      <c r="C20" s="3">
        <f>B20*Assumptions!B2*Assumptions!B3</f>
        <v>617.01750000000004</v>
      </c>
      <c r="D20" s="3">
        <f>(B20+C20)*Assumptions!B4</f>
        <v>2954.5166249999997</v>
      </c>
      <c r="E20" s="3">
        <v>0</v>
      </c>
      <c r="F20" s="3">
        <f t="shared" si="0"/>
        <v>2954.5166249999997</v>
      </c>
      <c r="G20" s="3">
        <f>F20*(1+Assumptions!B5+Assumptions!B6+Assumptions!B7)</f>
        <v>3249.9682874999999</v>
      </c>
      <c r="H20" s="3">
        <f>G20*(1+Assumptions!B8+Assumptions!B9)</f>
        <v>3737.4635306250002</v>
      </c>
      <c r="I20" s="3">
        <f t="shared" si="1"/>
        <v>311.45529421875</v>
      </c>
      <c r="J20" s="3">
        <f t="shared" si="2"/>
        <v>1868.7317653125001</v>
      </c>
      <c r="K20" s="16">
        <f t="shared" si="3"/>
        <v>3737.4635306250002</v>
      </c>
    </row>
    <row r="21" spans="1:11" x14ac:dyDescent="0.35">
      <c r="A21" s="8" t="str">
        <f>'Livestock Count'!A21</f>
        <v>Madhya Pradesh</v>
      </c>
      <c r="B21" s="1">
        <f>'Livestock Count'!B21</f>
        <v>18750828</v>
      </c>
      <c r="C21" s="3">
        <f>B21*Assumptions!B2*Assumptions!B3</f>
        <v>4640829.9300000006</v>
      </c>
      <c r="D21" s="3">
        <f>(B21+C21)*Assumptions!B4</f>
        <v>22222075.033499997</v>
      </c>
      <c r="E21" s="3">
        <v>0</v>
      </c>
      <c r="F21" s="3">
        <f t="shared" si="0"/>
        <v>22222075.033499997</v>
      </c>
      <c r="G21" s="3">
        <f>F21*(1+Assumptions!B5+Assumptions!B6+Assumptions!B7)</f>
        <v>24444282.536849998</v>
      </c>
      <c r="H21" s="3">
        <f>G21*(1+Assumptions!B8+Assumptions!B9)</f>
        <v>28110924.917377502</v>
      </c>
      <c r="I21" s="3">
        <f t="shared" si="1"/>
        <v>2342577.0764481253</v>
      </c>
      <c r="J21" s="3">
        <f t="shared" si="2"/>
        <v>14055462.458688751</v>
      </c>
      <c r="K21" s="16">
        <f t="shared" si="3"/>
        <v>28110924.917377502</v>
      </c>
    </row>
    <row r="22" spans="1:11" x14ac:dyDescent="0.35">
      <c r="A22" s="8" t="str">
        <f>'Livestock Count'!A22</f>
        <v>Maharashtra</v>
      </c>
      <c r="B22" s="1">
        <f>'Livestock Count'!B22</f>
        <v>13992304</v>
      </c>
      <c r="C22" s="3">
        <f>B22*Assumptions!B2*Assumptions!B3</f>
        <v>3463095.24</v>
      </c>
      <c r="D22" s="3">
        <f>(B22+C22)*Assumptions!B4</f>
        <v>16582629.278000001</v>
      </c>
      <c r="E22" s="3">
        <v>0</v>
      </c>
      <c r="F22" s="3">
        <f t="shared" si="0"/>
        <v>16582629.278000001</v>
      </c>
      <c r="G22" s="3">
        <f>F22*(1+Assumptions!B5+Assumptions!B6+Assumptions!B7)</f>
        <v>18240892.205800001</v>
      </c>
      <c r="H22" s="3">
        <f>G22*(1+Assumptions!B8+Assumptions!B9)</f>
        <v>20977026.036670003</v>
      </c>
      <c r="I22" s="3">
        <f t="shared" si="1"/>
        <v>1748085.5030558335</v>
      </c>
      <c r="J22" s="3">
        <f t="shared" si="2"/>
        <v>10488513.018335002</v>
      </c>
      <c r="K22" s="16">
        <f t="shared" si="3"/>
        <v>20977026.036670003</v>
      </c>
    </row>
    <row r="23" spans="1:11" x14ac:dyDescent="0.35">
      <c r="A23" s="8" t="str">
        <f>'Livestock Count'!A23</f>
        <v>Manipur</v>
      </c>
      <c r="B23" s="1">
        <f>'Livestock Count'!B23</f>
        <v>224472</v>
      </c>
      <c r="C23" s="3">
        <f>B23*Assumptions!B2*Assumptions!B3</f>
        <v>55556.820000000007</v>
      </c>
      <c r="D23" s="3">
        <f>(B23+C23)*Assumptions!B4</f>
        <v>266027.37900000002</v>
      </c>
      <c r="E23" s="3">
        <v>0</v>
      </c>
      <c r="F23" s="3">
        <f t="shared" si="0"/>
        <v>266027.37900000002</v>
      </c>
      <c r="G23" s="3">
        <f>F23*(1+Assumptions!B5+Assumptions!B6+Assumptions!B7)</f>
        <v>292630.11690000002</v>
      </c>
      <c r="H23" s="3">
        <f>G23*(1+Assumptions!B8+Assumptions!B9)</f>
        <v>336524.63443500007</v>
      </c>
      <c r="I23" s="3">
        <f t="shared" si="1"/>
        <v>28043.719536250006</v>
      </c>
      <c r="J23" s="3">
        <f t="shared" si="2"/>
        <v>168262.31721750004</v>
      </c>
      <c r="K23" s="16">
        <f t="shared" si="3"/>
        <v>336524.63443500007</v>
      </c>
    </row>
    <row r="24" spans="1:11" x14ac:dyDescent="0.35">
      <c r="A24" s="8" t="str">
        <f>'Livestock Count'!A24</f>
        <v>Meghalaya</v>
      </c>
      <c r="B24" s="1">
        <f>'Livestock Count'!B24</f>
        <v>903570</v>
      </c>
      <c r="C24" s="3">
        <f>B24*Assumptions!B2*Assumptions!B3</f>
        <v>223633.57500000004</v>
      </c>
      <c r="D24" s="3">
        <f>(B24+C24)*Assumptions!B4</f>
        <v>1070843.39625</v>
      </c>
      <c r="E24" s="3">
        <v>0</v>
      </c>
      <c r="F24" s="3">
        <f t="shared" si="0"/>
        <v>1070843.39625</v>
      </c>
      <c r="G24" s="3">
        <f>F24*(1+Assumptions!B5+Assumptions!B6+Assumptions!B7)</f>
        <v>1177927.735875</v>
      </c>
      <c r="H24" s="3">
        <f>G24*(1+Assumptions!B8+Assumptions!B9)</f>
        <v>1354616.8962562501</v>
      </c>
      <c r="I24" s="3">
        <f t="shared" si="1"/>
        <v>112884.7413546875</v>
      </c>
      <c r="J24" s="3">
        <f t="shared" si="2"/>
        <v>677308.44812812505</v>
      </c>
      <c r="K24" s="16">
        <f t="shared" si="3"/>
        <v>1354616.8962562501</v>
      </c>
    </row>
    <row r="25" spans="1:11" x14ac:dyDescent="0.35">
      <c r="A25" s="8" t="str">
        <f>'Livestock Count'!A25</f>
        <v>Mizoram</v>
      </c>
      <c r="B25" s="1">
        <f>'Livestock Count'!B25</f>
        <v>45701</v>
      </c>
      <c r="C25" s="3">
        <f>B25*Assumptions!B2*Assumptions!B3</f>
        <v>11310.997500000001</v>
      </c>
      <c r="D25" s="3">
        <f>(B25+C25)*Assumptions!B4</f>
        <v>54161.397624999998</v>
      </c>
      <c r="E25" s="3">
        <v>0</v>
      </c>
      <c r="F25" s="3">
        <f t="shared" si="0"/>
        <v>54161.397624999998</v>
      </c>
      <c r="G25" s="3">
        <f>F25*(1+Assumptions!B5+Assumptions!B6+Assumptions!B7)</f>
        <v>59577.5373875</v>
      </c>
      <c r="H25" s="3">
        <f>G25*(1+Assumptions!B8+Assumptions!B9)</f>
        <v>68514.167995625015</v>
      </c>
      <c r="I25" s="3">
        <f t="shared" si="1"/>
        <v>5709.5139996354183</v>
      </c>
      <c r="J25" s="3">
        <f t="shared" si="2"/>
        <v>34257.083997812508</v>
      </c>
      <c r="K25" s="16">
        <f t="shared" si="3"/>
        <v>68514.167995625015</v>
      </c>
    </row>
    <row r="26" spans="1:11" x14ac:dyDescent="0.35">
      <c r="A26" s="8" t="str">
        <f>'Livestock Count'!A26</f>
        <v>Nagaland</v>
      </c>
      <c r="B26" s="1">
        <f>'Livestock Count'!B26</f>
        <v>78296</v>
      </c>
      <c r="C26" s="3">
        <f>B26*Assumptions!B2*Assumptions!B3</f>
        <v>19378.260000000002</v>
      </c>
      <c r="D26" s="3">
        <f>(B26+C26)*Assumptions!B4</f>
        <v>92790.547000000006</v>
      </c>
      <c r="E26" s="3">
        <v>0</v>
      </c>
      <c r="F26" s="3">
        <f t="shared" si="0"/>
        <v>92790.547000000006</v>
      </c>
      <c r="G26" s="3">
        <f>F26*(1+Assumptions!B5+Assumptions!B6+Assumptions!B7)</f>
        <v>102069.60170000001</v>
      </c>
      <c r="H26" s="3">
        <f>G26*(1+Assumptions!B8+Assumptions!B9)</f>
        <v>117380.04195500002</v>
      </c>
      <c r="I26" s="3">
        <f t="shared" si="1"/>
        <v>9781.6701629166691</v>
      </c>
      <c r="J26" s="3">
        <f t="shared" si="2"/>
        <v>58690.020977500011</v>
      </c>
      <c r="K26" s="16">
        <f t="shared" si="3"/>
        <v>117380.04195500002</v>
      </c>
    </row>
    <row r="27" spans="1:11" x14ac:dyDescent="0.35">
      <c r="A27" s="8" t="str">
        <f>'Livestock Count'!A27</f>
        <v>Odisha</v>
      </c>
      <c r="B27" s="1">
        <f>'Livestock Count'!B27</f>
        <v>9903970</v>
      </c>
      <c r="C27" s="3">
        <f>B27*Assumptions!B2*Assumptions!B3</f>
        <v>2451232.5750000002</v>
      </c>
      <c r="D27" s="3">
        <f>(B27+C27)*Assumptions!B4</f>
        <v>11737442.446249999</v>
      </c>
      <c r="E27" s="3">
        <v>0</v>
      </c>
      <c r="F27" s="3">
        <f t="shared" si="0"/>
        <v>11737442.446249999</v>
      </c>
      <c r="G27" s="3">
        <f>F27*(1+Assumptions!B5+Assumptions!B6+Assumptions!B7)</f>
        <v>12911186.690874999</v>
      </c>
      <c r="H27" s="3">
        <f>G27*(1+Assumptions!B8+Assumptions!B9)</f>
        <v>14847864.69450625</v>
      </c>
      <c r="I27" s="3">
        <f t="shared" si="1"/>
        <v>1237322.0578755208</v>
      </c>
      <c r="J27" s="3">
        <f t="shared" si="2"/>
        <v>7423932.3472531252</v>
      </c>
      <c r="K27" s="16">
        <f t="shared" si="3"/>
        <v>14847864.69450625</v>
      </c>
    </row>
    <row r="28" spans="1:11" x14ac:dyDescent="0.35">
      <c r="A28" s="8" t="str">
        <f>'Livestock Count'!A28</f>
        <v>Puducherry</v>
      </c>
      <c r="B28" s="1">
        <f>'Livestock Count'!B28</f>
        <v>71984</v>
      </c>
      <c r="C28" s="3">
        <f>B28*Assumptions!B2*Assumptions!B3</f>
        <v>17816.04</v>
      </c>
      <c r="D28" s="3">
        <f>(B28+C28)*Assumptions!B4</f>
        <v>85310.038</v>
      </c>
      <c r="E28" s="3">
        <v>0</v>
      </c>
      <c r="F28" s="3">
        <f t="shared" si="0"/>
        <v>85310.038</v>
      </c>
      <c r="G28" s="3">
        <f>F28*(1+Assumptions!B5+Assumptions!B6+Assumptions!B7)</f>
        <v>93841.041800000006</v>
      </c>
      <c r="H28" s="3">
        <f>G28*(1+Assumptions!B8+Assumptions!B9)</f>
        <v>107917.19807000001</v>
      </c>
      <c r="I28" s="3">
        <f t="shared" si="1"/>
        <v>8993.0998391666672</v>
      </c>
      <c r="J28" s="3">
        <f t="shared" si="2"/>
        <v>53958.599035000007</v>
      </c>
      <c r="K28" s="16">
        <f t="shared" si="3"/>
        <v>107917.19807000001</v>
      </c>
    </row>
    <row r="29" spans="1:11" x14ac:dyDescent="0.35">
      <c r="A29" s="8" t="str">
        <f>'Livestock Count'!A29</f>
        <v>Punjab</v>
      </c>
      <c r="B29" s="1">
        <f>'Livestock Count'!B29</f>
        <v>2531460</v>
      </c>
      <c r="C29" s="3">
        <f>B29*Assumptions!B2*Assumptions!B3</f>
        <v>626536.35</v>
      </c>
      <c r="D29" s="3">
        <f>(B29+C29)*Assumptions!B4</f>
        <v>3000096.5324999997</v>
      </c>
      <c r="E29" s="3">
        <v>0</v>
      </c>
      <c r="F29" s="3">
        <f t="shared" si="0"/>
        <v>3000096.5324999997</v>
      </c>
      <c r="G29" s="3">
        <f>F29*(1+Assumptions!B5+Assumptions!B6+Assumptions!B7)</f>
        <v>3300106.1857500002</v>
      </c>
      <c r="H29" s="3">
        <f>G29*(1+Assumptions!B8+Assumptions!B9)</f>
        <v>3795122.1136125005</v>
      </c>
      <c r="I29" s="3">
        <f t="shared" si="1"/>
        <v>316260.17613437504</v>
      </c>
      <c r="J29" s="3">
        <f t="shared" si="2"/>
        <v>1897561.0568062502</v>
      </c>
      <c r="K29" s="16">
        <f t="shared" si="3"/>
        <v>3795122.1136125005</v>
      </c>
    </row>
    <row r="30" spans="1:11" x14ac:dyDescent="0.35">
      <c r="A30" s="8" t="str">
        <f>'Livestock Count'!A30</f>
        <v>Rajasthan</v>
      </c>
      <c r="B30" s="1">
        <f>'Livestock Count'!B30</f>
        <v>13937630</v>
      </c>
      <c r="C30" s="3">
        <f>B30*Assumptions!B2*Assumptions!B3</f>
        <v>3449563.4250000003</v>
      </c>
      <c r="D30" s="3">
        <f>(B30+C30)*Assumptions!B4</f>
        <v>16517833.75375</v>
      </c>
      <c r="E30" s="3">
        <v>0</v>
      </c>
      <c r="F30" s="3">
        <f t="shared" si="0"/>
        <v>16517833.75375</v>
      </c>
      <c r="G30" s="3">
        <f>F30*(1+Assumptions!B5+Assumptions!B6+Assumptions!B7)</f>
        <v>18169617.129125003</v>
      </c>
      <c r="H30" s="3">
        <f>G30*(1+Assumptions!B8+Assumptions!B9)</f>
        <v>20895059.698493756</v>
      </c>
      <c r="I30" s="3">
        <f t="shared" si="1"/>
        <v>1741254.9748744797</v>
      </c>
      <c r="J30" s="3">
        <f t="shared" si="2"/>
        <v>10447529.849246878</v>
      </c>
      <c r="K30" s="16">
        <f t="shared" si="3"/>
        <v>20895059.698493756</v>
      </c>
    </row>
    <row r="31" spans="1:11" x14ac:dyDescent="0.35">
      <c r="A31" s="8" t="str">
        <f>'Livestock Count'!A31</f>
        <v>Sikkim</v>
      </c>
      <c r="B31" s="1">
        <f>'Livestock Count'!B31</f>
        <v>148010</v>
      </c>
      <c r="C31" s="3">
        <f>B31*Assumptions!B2*Assumptions!B3</f>
        <v>36632.474999999999</v>
      </c>
      <c r="D31" s="3">
        <f>(B31+C31)*Assumptions!B4</f>
        <v>175410.35125000001</v>
      </c>
      <c r="E31" s="3">
        <v>0</v>
      </c>
      <c r="F31" s="3">
        <f t="shared" si="0"/>
        <v>175410.35125000001</v>
      </c>
      <c r="G31" s="3">
        <f>F31*(1+Assumptions!B5+Assumptions!B6+Assumptions!B7)</f>
        <v>192951.38637500003</v>
      </c>
      <c r="H31" s="3">
        <f>G31*(1+Assumptions!B8+Assumptions!B9)</f>
        <v>221894.09433125006</v>
      </c>
      <c r="I31" s="3">
        <f t="shared" si="1"/>
        <v>18491.174527604173</v>
      </c>
      <c r="J31" s="3">
        <f t="shared" si="2"/>
        <v>110947.04716562503</v>
      </c>
      <c r="K31" s="16">
        <f t="shared" si="3"/>
        <v>221894.09433125006</v>
      </c>
    </row>
    <row r="32" spans="1:11" x14ac:dyDescent="0.35">
      <c r="A32" s="8" t="str">
        <f>'Livestock Count'!A32</f>
        <v>Tamil Nadu</v>
      </c>
      <c r="B32" s="1">
        <f>'Livestock Count'!B32</f>
        <v>9518660</v>
      </c>
      <c r="C32" s="3">
        <f>B32*Assumptions!B2*Assumptions!B3</f>
        <v>2355868.35</v>
      </c>
      <c r="D32" s="3">
        <f>(B32+C32)*Assumptions!B4</f>
        <v>11280801.932499999</v>
      </c>
      <c r="E32" s="3">
        <v>0</v>
      </c>
      <c r="F32" s="3">
        <f t="shared" si="0"/>
        <v>11280801.932499999</v>
      </c>
      <c r="G32" s="3">
        <f>F32*(1+Assumptions!B5+Assumptions!B6+Assumptions!B7)</f>
        <v>12408882.12575</v>
      </c>
      <c r="H32" s="3">
        <f>G32*(1+Assumptions!B8+Assumptions!B9)</f>
        <v>14270214.444612501</v>
      </c>
      <c r="I32" s="3">
        <f t="shared" si="1"/>
        <v>1189184.5370510418</v>
      </c>
      <c r="J32" s="3">
        <f t="shared" si="2"/>
        <v>7135107.2223062506</v>
      </c>
      <c r="K32" s="16">
        <f t="shared" si="3"/>
        <v>14270214.444612501</v>
      </c>
    </row>
    <row r="33" spans="1:11" x14ac:dyDescent="0.35">
      <c r="A33" s="8" t="str">
        <f>'Livestock Count'!A33</f>
        <v>Telangana</v>
      </c>
      <c r="B33" s="1">
        <f>'Livestock Count'!B33</f>
        <v>4232539</v>
      </c>
      <c r="C33" s="3">
        <f>B33*Assumptions!B2*Assumptions!B3</f>
        <v>1047553.4025000001</v>
      </c>
      <c r="D33" s="3">
        <f>(B33+C33)*Assumptions!B4</f>
        <v>5016087.7823749995</v>
      </c>
      <c r="E33" s="3">
        <v>0</v>
      </c>
      <c r="F33" s="3">
        <f t="shared" si="0"/>
        <v>5016087.7823749995</v>
      </c>
      <c r="G33" s="3">
        <f>F33*(1+Assumptions!B5+Assumptions!B6+Assumptions!B7)</f>
        <v>5517696.5606124997</v>
      </c>
      <c r="H33" s="3">
        <f>G33*(1+Assumptions!B8+Assumptions!B9)</f>
        <v>6345351.0447043758</v>
      </c>
      <c r="I33" s="3">
        <f t="shared" si="1"/>
        <v>528779.25372536469</v>
      </c>
      <c r="J33" s="3">
        <f t="shared" si="2"/>
        <v>3172675.5223521879</v>
      </c>
      <c r="K33" s="16">
        <f t="shared" si="3"/>
        <v>6345351.0447043758</v>
      </c>
    </row>
    <row r="34" spans="1:11" x14ac:dyDescent="0.35">
      <c r="A34" s="8" t="str">
        <f>'Livestock Count'!A34</f>
        <v>Tripura</v>
      </c>
      <c r="B34" s="1">
        <f>'Livestock Count'!B34</f>
        <v>739031</v>
      </c>
      <c r="C34" s="3">
        <f>B34*Assumptions!B2*Assumptions!B3</f>
        <v>182910.17250000002</v>
      </c>
      <c r="D34" s="3">
        <f>(B34+C34)*Assumptions!B4</f>
        <v>875844.11387499992</v>
      </c>
      <c r="E34" s="3">
        <v>0</v>
      </c>
      <c r="F34" s="3">
        <f t="shared" si="0"/>
        <v>875844.11387499992</v>
      </c>
      <c r="G34" s="3">
        <f>F34*(1+Assumptions!B5+Assumptions!B6+Assumptions!B7)</f>
        <v>963428.52526250004</v>
      </c>
      <c r="H34" s="3">
        <f>G34*(1+Assumptions!B8+Assumptions!B9)</f>
        <v>1107942.8040518751</v>
      </c>
      <c r="I34" s="3">
        <f t="shared" si="1"/>
        <v>92328.567004322933</v>
      </c>
      <c r="J34" s="3">
        <f t="shared" si="2"/>
        <v>553971.40202593757</v>
      </c>
      <c r="K34" s="16">
        <f t="shared" si="3"/>
        <v>1107942.8040518751</v>
      </c>
    </row>
    <row r="35" spans="1:11" x14ac:dyDescent="0.35">
      <c r="A35" s="8" t="str">
        <f>'Livestock Count'!A35</f>
        <v>Uttar Pradesh</v>
      </c>
      <c r="B35" s="1">
        <f>'Livestock Count'!B35</f>
        <v>19019641</v>
      </c>
      <c r="C35" s="3">
        <f>B35*Assumptions!B2*Assumptions!B3</f>
        <v>4707361.1475000009</v>
      </c>
      <c r="D35" s="3">
        <f>(B35+C35)*Assumptions!B4</f>
        <v>22540652.040125001</v>
      </c>
      <c r="E35" s="3">
        <v>0</v>
      </c>
      <c r="F35" s="3">
        <f t="shared" si="0"/>
        <v>22540652.040125001</v>
      </c>
      <c r="G35" s="3">
        <f>F35*(1+Assumptions!B5+Assumptions!B6+Assumptions!B7)</f>
        <v>24794717.244137503</v>
      </c>
      <c r="H35" s="3">
        <f>G35*(1+Assumptions!B8+Assumptions!B9)</f>
        <v>28513924.830758132</v>
      </c>
      <c r="I35" s="3">
        <f t="shared" si="1"/>
        <v>2376160.4025631775</v>
      </c>
      <c r="J35" s="3">
        <f t="shared" si="2"/>
        <v>14256962.415379066</v>
      </c>
      <c r="K35" s="16">
        <f t="shared" si="3"/>
        <v>28513924.830758132</v>
      </c>
    </row>
    <row r="36" spans="1:11" x14ac:dyDescent="0.35">
      <c r="A36" s="8" t="str">
        <f>'Livestock Count'!A36</f>
        <v>Uttarakhand</v>
      </c>
      <c r="B36" s="1">
        <f>'Livestock Count'!B36</f>
        <v>1852123</v>
      </c>
      <c r="C36" s="3">
        <f>B36*Assumptions!B2*Assumptions!B3</f>
        <v>458400.44250000006</v>
      </c>
      <c r="D36" s="3">
        <f>(B36+C36)*Assumptions!B4</f>
        <v>2194997.2703749998</v>
      </c>
      <c r="E36" s="3">
        <v>0</v>
      </c>
      <c r="F36" s="3">
        <f t="shared" si="0"/>
        <v>2194997.2703749998</v>
      </c>
      <c r="G36" s="3">
        <f>F36*(1+Assumptions!B5+Assumptions!B6+Assumptions!B7)</f>
        <v>2414496.9974125</v>
      </c>
      <c r="H36" s="3">
        <f>G36*(1+Assumptions!B8+Assumptions!B9)</f>
        <v>2776671.5470243753</v>
      </c>
      <c r="I36" s="3">
        <f t="shared" si="1"/>
        <v>231389.2955853646</v>
      </c>
      <c r="J36" s="3">
        <f t="shared" si="2"/>
        <v>1388335.7735121876</v>
      </c>
      <c r="K36" s="16">
        <f t="shared" si="3"/>
        <v>2776671.5470243753</v>
      </c>
    </row>
    <row r="37" spans="1:11" x14ac:dyDescent="0.35">
      <c r="A37" s="13" t="str">
        <f>'Livestock Count'!A37</f>
        <v>West Bengal</v>
      </c>
      <c r="B37" s="14">
        <f>'Livestock Count'!B37</f>
        <v>19077916</v>
      </c>
      <c r="C37" s="17">
        <f>B37*Assumptions!B2*Assumptions!B3</f>
        <v>4721784.2100000009</v>
      </c>
      <c r="D37" s="17">
        <f>(B37+C37)*Assumptions!B4</f>
        <v>22609715.199499998</v>
      </c>
      <c r="E37" s="17">
        <v>0</v>
      </c>
      <c r="F37" s="17">
        <f t="shared" si="0"/>
        <v>22609715.199499998</v>
      </c>
      <c r="G37" s="17">
        <f>F37*(1+Assumptions!B5+Assumptions!B6+Assumptions!B7)</f>
        <v>24870686.719450001</v>
      </c>
      <c r="H37" s="17">
        <f>G37*(1+Assumptions!B8+Assumptions!B9)</f>
        <v>28601289.727367505</v>
      </c>
      <c r="I37" s="17">
        <f t="shared" si="1"/>
        <v>2383440.8106139586</v>
      </c>
      <c r="J37" s="17">
        <f t="shared" si="2"/>
        <v>14300644.863683753</v>
      </c>
      <c r="K37" s="18">
        <f t="shared" si="3"/>
        <v>28601289.727367505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7"/>
  <sheetViews>
    <sheetView zoomScale="80" zoomScaleNormal="80" workbookViewId="0">
      <pane ySplit="1" topLeftCell="A2" activePane="bottomLeft" state="frozen"/>
      <selection pane="bottomLeft" activeCell="G11" sqref="G11"/>
    </sheetView>
  </sheetViews>
  <sheetFormatPr defaultRowHeight="14.5" x14ac:dyDescent="0.35"/>
  <cols>
    <col min="1" max="1" width="28" customWidth="1"/>
    <col min="2" max="3" width="20.81640625" customWidth="1"/>
    <col min="4" max="6" width="18" customWidth="1"/>
    <col min="7" max="7" width="20.81640625" customWidth="1"/>
  </cols>
  <sheetData>
    <row r="1" spans="1:7" s="35" customFormat="1" ht="29" x14ac:dyDescent="0.35">
      <c r="A1" s="34" t="s">
        <v>0</v>
      </c>
      <c r="B1" s="25" t="s">
        <v>102</v>
      </c>
      <c r="C1" s="25" t="s">
        <v>103</v>
      </c>
      <c r="D1" s="25" t="s">
        <v>104</v>
      </c>
      <c r="E1" s="25" t="s">
        <v>105</v>
      </c>
      <c r="F1" s="25" t="s">
        <v>106</v>
      </c>
      <c r="G1" s="26" t="s">
        <v>107</v>
      </c>
    </row>
    <row r="2" spans="1:7" x14ac:dyDescent="0.35">
      <c r="A2" s="8" t="str">
        <f>'FMD Demand'!A2</f>
        <v>Andaman &amp; Nicobar Islands</v>
      </c>
      <c r="B2" s="3">
        <f>'FMD Demand'!K2</f>
        <v>435938.46582000016</v>
      </c>
      <c r="C2" s="3">
        <f>'Brucellosis Demand'!K2</f>
        <v>60174.212271250006</v>
      </c>
      <c r="D2" s="3">
        <f>'PPR Demand'!K2</f>
        <v>97096.094273750015</v>
      </c>
      <c r="E2" s="3">
        <f>'CSF Demand'!K2</f>
        <v>60698.926364999999</v>
      </c>
      <c r="F2" s="3">
        <f>'LSD Demand'!K2</f>
        <v>54627.234708750002</v>
      </c>
      <c r="G2" s="16">
        <f t="shared" ref="G2:G37" si="0">SUM(B2:F2)</f>
        <v>708534.93343875022</v>
      </c>
    </row>
    <row r="3" spans="1:7" x14ac:dyDescent="0.35">
      <c r="A3" s="8" t="str">
        <f>'FMD Demand'!A3</f>
        <v>Andhra Pradesh</v>
      </c>
      <c r="B3" s="3">
        <f>'FMD Demand'!K3</f>
        <v>102126297.41633002</v>
      </c>
      <c r="C3" s="3">
        <f>'Brucellosis Demand'!K3</f>
        <v>16220540.750686252</v>
      </c>
      <c r="D3" s="3">
        <f>'PPR Demand'!K3</f>
        <v>34704746.075670011</v>
      </c>
      <c r="E3" s="3">
        <f>'CSF Demand'!K3</f>
        <v>137861.88180875001</v>
      </c>
      <c r="F3" s="3">
        <f>'LSD Demand'!K3</f>
        <v>6896372.8039318752</v>
      </c>
      <c r="G3" s="16">
        <f t="shared" si="0"/>
        <v>160085818.92842692</v>
      </c>
    </row>
    <row r="4" spans="1:7" x14ac:dyDescent="0.35">
      <c r="A4" s="8" t="str">
        <f>'FMD Demand'!A4</f>
        <v>Arunachal Pradesh</v>
      </c>
      <c r="B4" s="3">
        <f>'FMD Demand'!K4</f>
        <v>2351162.8982050004</v>
      </c>
      <c r="C4" s="3">
        <f>'Brucellosis Demand'!K4</f>
        <v>518117.68800000008</v>
      </c>
      <c r="D4" s="3">
        <f>'PPR Demand'!K4</f>
        <v>250491.01244062505</v>
      </c>
      <c r="E4" s="3">
        <f>'CSF Demand'!K4</f>
        <v>406972.74866187514</v>
      </c>
      <c r="F4" s="3">
        <f>'LSD Demand'!K4</f>
        <v>508554.39884562511</v>
      </c>
      <c r="G4" s="16">
        <f t="shared" si="0"/>
        <v>4035298.746153126</v>
      </c>
    </row>
    <row r="5" spans="1:7" x14ac:dyDescent="0.35">
      <c r="A5" s="8" t="str">
        <f>'FMD Demand'!A5</f>
        <v>Assam</v>
      </c>
      <c r="B5" s="3">
        <f>'FMD Demand'!K5</f>
        <v>54202147.330388762</v>
      </c>
      <c r="C5" s="3">
        <f>'Brucellosis Demand'!K5</f>
        <v>16987175.026951253</v>
      </c>
      <c r="D5" s="3">
        <f>'PPR Demand'!K5</f>
        <v>6967113.2588681253</v>
      </c>
      <c r="E5" s="3">
        <f>'CSF Demand'!K5</f>
        <v>3146785.3793750005</v>
      </c>
      <c r="F5" s="3">
        <f>'LSD Demand'!K5</f>
        <v>16354947.015391877</v>
      </c>
      <c r="G5" s="16">
        <f t="shared" si="0"/>
        <v>97658168.010975003</v>
      </c>
    </row>
    <row r="6" spans="1:7" x14ac:dyDescent="0.35">
      <c r="A6" s="8" t="str">
        <f>'FMD Demand'!A6</f>
        <v>Bihar</v>
      </c>
      <c r="B6" s="3">
        <f>'FMD Demand'!K6</f>
        <v>109427777.98511629</v>
      </c>
      <c r="C6" s="3">
        <f>'Brucellosis Demand'!K6</f>
        <v>34657776.668363757</v>
      </c>
      <c r="D6" s="3">
        <f>'PPR Demand'!K6</f>
        <v>19541241.866843127</v>
      </c>
      <c r="E6" s="3">
        <f>'CSF Demand'!K6</f>
        <v>514870.45735125011</v>
      </c>
      <c r="F6" s="3">
        <f>'LSD Demand'!K6</f>
        <v>23084391.775087502</v>
      </c>
      <c r="G6" s="16">
        <f t="shared" si="0"/>
        <v>187226058.75276193</v>
      </c>
    </row>
    <row r="7" spans="1:7" x14ac:dyDescent="0.35">
      <c r="A7" s="8" t="str">
        <f>'FMD Demand'!A7</f>
        <v>Chandigarh</v>
      </c>
      <c r="B7" s="3">
        <f>'FMD Demand'!K7</f>
        <v>80215.292286250013</v>
      </c>
      <c r="C7" s="3">
        <f>'Brucellosis Demand'!K7</f>
        <v>38404.574113125011</v>
      </c>
      <c r="D7" s="3">
        <f>'PPR Demand'!K7</f>
        <v>1496.1847587500004</v>
      </c>
      <c r="E7" s="3">
        <f>'CSF Demand'!K7</f>
        <v>206.88727125000003</v>
      </c>
      <c r="F7" s="3">
        <f>'LSD Demand'!K7</f>
        <v>20149.021200000007</v>
      </c>
      <c r="G7" s="16">
        <f t="shared" si="0"/>
        <v>140471.95962937502</v>
      </c>
    </row>
    <row r="8" spans="1:7" x14ac:dyDescent="0.35">
      <c r="A8" s="8" t="str">
        <f>'FMD Demand'!A8</f>
        <v>Chhattisgarh</v>
      </c>
      <c r="B8" s="3">
        <f>'FMD Demand'!K8</f>
        <v>47588458.997323759</v>
      </c>
      <c r="C8" s="3">
        <f>'Brucellosis Demand'!K8</f>
        <v>16728898.756542504</v>
      </c>
      <c r="D8" s="3">
        <f>'PPR Demand'!K8</f>
        <v>6275409.654373752</v>
      </c>
      <c r="E8" s="3">
        <f>'CSF Demand'!K8</f>
        <v>789921.08774562518</v>
      </c>
      <c r="F8" s="3">
        <f>'LSD Demand'!K8</f>
        <v>14967775.357576253</v>
      </c>
      <c r="G8" s="16">
        <f t="shared" si="0"/>
        <v>86350463.853561893</v>
      </c>
    </row>
    <row r="9" spans="1:7" x14ac:dyDescent="0.35">
      <c r="A9" s="8" t="str">
        <f>'FMD Demand'!A9</f>
        <v>Dadra &amp; Nagar Haveli</v>
      </c>
      <c r="B9" s="3">
        <f>'FMD Demand'!K9</f>
        <v>145015.98368125004</v>
      </c>
      <c r="C9" s="3">
        <f>'Brucellosis Demand'!K9</f>
        <v>61066.226230625012</v>
      </c>
      <c r="D9" s="3">
        <f>'PPR Demand'!K9</f>
        <v>11441.76561</v>
      </c>
      <c r="E9" s="3">
        <f>'CSF Demand'!K9</f>
        <v>0</v>
      </c>
      <c r="F9" s="3">
        <f>'LSD Demand'!K9</f>
        <v>59571.540655000012</v>
      </c>
      <c r="G9" s="16">
        <f t="shared" si="0"/>
        <v>277095.51617687504</v>
      </c>
    </row>
    <row r="10" spans="1:7" x14ac:dyDescent="0.35">
      <c r="A10" s="8" t="str">
        <f>'FMD Demand'!A10</f>
        <v>Daman &amp; Diu</v>
      </c>
      <c r="B10" s="3">
        <f>'FMD Demand'!K10</f>
        <v>9801.6592712500023</v>
      </c>
      <c r="C10" s="3">
        <f>'Brucellosis Demand'!K10</f>
        <v>3319.1914387500005</v>
      </c>
      <c r="D10" s="3">
        <f>'PPR Demand'!K10</f>
        <v>1581.6381968750004</v>
      </c>
      <c r="E10" s="3">
        <f>'CSF Demand'!K10</f>
        <v>0</v>
      </c>
      <c r="F10" s="3">
        <f>'LSD Demand'!K10</f>
        <v>2758.4969500000007</v>
      </c>
      <c r="G10" s="16">
        <f t="shared" si="0"/>
        <v>17460.985856875006</v>
      </c>
    </row>
    <row r="11" spans="1:7" x14ac:dyDescent="0.35">
      <c r="A11" s="8" t="str">
        <f>'FMD Demand'!A11</f>
        <v>Delhi</v>
      </c>
      <c r="B11" s="3">
        <f>'FMD Demand'!K11</f>
        <v>1068386.8572987502</v>
      </c>
      <c r="C11" s="3">
        <f>'Brucellosis Demand'!K11</f>
        <v>372659.44529687503</v>
      </c>
      <c r="D11" s="3">
        <f>'PPR Demand'!K11</f>
        <v>47077.348491250013</v>
      </c>
      <c r="E11" s="3">
        <f>'CSF Demand'!K11</f>
        <v>114456.63486125003</v>
      </c>
      <c r="F11" s="3">
        <f>'LSD Demand'!K11</f>
        <v>129578.89504312501</v>
      </c>
      <c r="G11" s="16">
        <f t="shared" si="0"/>
        <v>1732159.1809912501</v>
      </c>
    </row>
    <row r="12" spans="1:7" x14ac:dyDescent="0.35">
      <c r="A12" s="8" t="str">
        <f>'FMD Demand'!A12</f>
        <v>Goa</v>
      </c>
      <c r="B12" s="3">
        <f>'FMD Demand'!K12</f>
        <v>396947.71110500011</v>
      </c>
      <c r="C12" s="3">
        <f>'Brucellosis Demand'!K12</f>
        <v>131109.56101375003</v>
      </c>
      <c r="D12" s="3">
        <f>'PPR Demand'!K12</f>
        <v>14173.277263750002</v>
      </c>
      <c r="E12" s="3">
        <f>'CSF Demand'!K12</f>
        <v>53191.017275000013</v>
      </c>
      <c r="F12" s="3">
        <f>'LSD Demand'!K12</f>
        <v>90321.285731875018</v>
      </c>
      <c r="G12" s="16">
        <f t="shared" si="0"/>
        <v>685742.8523893751</v>
      </c>
    </row>
    <row r="13" spans="1:7" x14ac:dyDescent="0.35">
      <c r="A13" s="8" t="str">
        <f>'FMD Demand'!A13</f>
        <v>Gujarat</v>
      </c>
      <c r="B13" s="3">
        <f>'FMD Demand'!K13</f>
        <v>80453818.318170011</v>
      </c>
      <c r="C13" s="3">
        <f>'Brucellosis Demand'!K13</f>
        <v>30248848.505431876</v>
      </c>
      <c r="D13" s="3">
        <f>'PPR Demand'!K13</f>
        <v>9977074.1911568772</v>
      </c>
      <c r="E13" s="3">
        <f>'CSF Demand'!K13</f>
        <v>986.46249625000019</v>
      </c>
      <c r="F13" s="3">
        <f>'LSD Demand'!K13</f>
        <v>14442586.022775628</v>
      </c>
      <c r="G13" s="16">
        <f t="shared" si="0"/>
        <v>135123313.50003064</v>
      </c>
    </row>
    <row r="14" spans="1:7" x14ac:dyDescent="0.35">
      <c r="A14" s="8" t="str">
        <f>'FMD Demand'!A14</f>
        <v>Haryana</v>
      </c>
      <c r="B14" s="3">
        <f>'FMD Demand'!K14</f>
        <v>21072383.078518752</v>
      </c>
      <c r="C14" s="3">
        <f>'Brucellosis Demand'!K14</f>
        <v>9439913.8791031279</v>
      </c>
      <c r="D14" s="3">
        <f>'PPR Demand'!K14</f>
        <v>934006.07870625006</v>
      </c>
      <c r="E14" s="3">
        <f>'CSF Demand'!K14</f>
        <v>162271.58145000003</v>
      </c>
      <c r="F14" s="3">
        <f>'LSD Demand'!K14</f>
        <v>2891447.5078912508</v>
      </c>
      <c r="G14" s="16">
        <f t="shared" si="0"/>
        <v>34500022.125669383</v>
      </c>
    </row>
    <row r="15" spans="1:7" x14ac:dyDescent="0.35">
      <c r="A15" s="8" t="str">
        <f>'FMD Demand'!A15</f>
        <v>Himachal Pradesh</v>
      </c>
      <c r="B15" s="3">
        <f>'FMD Demand'!K15</f>
        <v>13123300.375226252</v>
      </c>
      <c r="C15" s="3">
        <f>'Brucellosis Demand'!K15</f>
        <v>3709851.5758287502</v>
      </c>
      <c r="D15" s="3">
        <f>'PPR Demand'!K15</f>
        <v>2848085.1351837502</v>
      </c>
      <c r="E15" s="3">
        <f>'CSF Demand'!K15</f>
        <v>3713.4766006250006</v>
      </c>
      <c r="F15" s="3">
        <f>'LSD Demand'!K15</f>
        <v>2740532.2386131254</v>
      </c>
      <c r="G15" s="16">
        <f t="shared" si="0"/>
        <v>22425482.801452503</v>
      </c>
    </row>
    <row r="16" spans="1:7" x14ac:dyDescent="0.35">
      <c r="A16" s="8" t="str">
        <f>'FMD Demand'!A16</f>
        <v>Jammu &amp; Kashmir</v>
      </c>
      <c r="B16" s="3">
        <f>'FMD Demand'!K16</f>
        <v>24613603.538081255</v>
      </c>
      <c r="C16" s="3">
        <f>'Brucellosis Demand'!K16</f>
        <v>4842464.9373856261</v>
      </c>
      <c r="D16" s="3">
        <f>'PPR Demand'!K16</f>
        <v>7462515.3241581265</v>
      </c>
      <c r="E16" s="3">
        <f>'CSF Demand'!K16</f>
        <v>1821.5074968750005</v>
      </c>
      <c r="F16" s="3">
        <f>'LSD Demand'!K16</f>
        <v>3806785.7583250003</v>
      </c>
      <c r="G16" s="16">
        <f t="shared" si="0"/>
        <v>40727191.065446891</v>
      </c>
    </row>
    <row r="17" spans="1:7" x14ac:dyDescent="0.35">
      <c r="A17" s="8" t="str">
        <f>'FMD Demand'!A17</f>
        <v>Jharkhand</v>
      </c>
      <c r="B17" s="3">
        <f>'FMD Demand'!K17</f>
        <v>70799504.76117751</v>
      </c>
      <c r="C17" s="3">
        <f>'Brucellosis Demand'!K17</f>
        <v>18849776.632465631</v>
      </c>
      <c r="D17" s="3">
        <f>'PPR Demand'!K17</f>
        <v>14635559.375442499</v>
      </c>
      <c r="E17" s="3">
        <f>'CSF Demand'!K17</f>
        <v>1914416.3726806252</v>
      </c>
      <c r="F17" s="3">
        <f>'LSD Demand'!K17</f>
        <v>16825410.169397507</v>
      </c>
      <c r="G17" s="16">
        <f t="shared" si="0"/>
        <v>123024667.31116377</v>
      </c>
    </row>
    <row r="18" spans="1:7" x14ac:dyDescent="0.35">
      <c r="A18" s="8" t="str">
        <f>'FMD Demand'!A18</f>
        <v>Karnataka</v>
      </c>
      <c r="B18" s="3">
        <f>'FMD Demand'!K18</f>
        <v>86945185.301700011</v>
      </c>
      <c r="C18" s="3">
        <f>'Brucellosis Demand'!K18</f>
        <v>17170989.869907502</v>
      </c>
      <c r="D18" s="3">
        <f>'PPR Demand'!K18</f>
        <v>25816113.314475004</v>
      </c>
      <c r="E18" s="3">
        <f>'CSF Demand'!K18</f>
        <v>485489.46646750008</v>
      </c>
      <c r="F18" s="3">
        <f>'LSD Demand'!K18</f>
        <v>12696587.882357502</v>
      </c>
      <c r="G18" s="16">
        <f t="shared" si="0"/>
        <v>143114365.8349075</v>
      </c>
    </row>
    <row r="19" spans="1:7" x14ac:dyDescent="0.35">
      <c r="A19" s="8" t="str">
        <f>'FMD Demand'!A19</f>
        <v>Kerala</v>
      </c>
      <c r="B19" s="3">
        <f>'FMD Demand'!K19</f>
        <v>8719267.0451974999</v>
      </c>
      <c r="C19" s="3">
        <f>'Brucellosis Demand'!K19</f>
        <v>2164070.8409375004</v>
      </c>
      <c r="D19" s="3">
        <f>'PPR Demand'!K19</f>
        <v>2039853.0247493754</v>
      </c>
      <c r="E19" s="3">
        <f>'CSF Demand'!K19</f>
        <v>155709.65691187503</v>
      </c>
      <c r="F19" s="3">
        <f>'LSD Demand'!K19</f>
        <v>2011897.7570175002</v>
      </c>
      <c r="G19" s="16">
        <f t="shared" si="0"/>
        <v>15090798.324813752</v>
      </c>
    </row>
    <row r="20" spans="1:7" x14ac:dyDescent="0.35">
      <c r="A20" s="8" t="str">
        <f>'FMD Demand'!A20</f>
        <v>Lakshadweep</v>
      </c>
      <c r="B20" s="3">
        <f>'FMD Demand'!K20</f>
        <v>137016.34252625002</v>
      </c>
      <c r="C20" s="3">
        <f>'Brucellosis Demand'!K20</f>
        <v>3761.4504606250002</v>
      </c>
      <c r="D20" s="3">
        <f>'PPR Demand'!K20</f>
        <v>64746.720802500007</v>
      </c>
      <c r="E20" s="3">
        <f>'CSF Demand'!K20</f>
        <v>0</v>
      </c>
      <c r="F20" s="3">
        <f>'LSD Demand'!K20</f>
        <v>3737.4635306250002</v>
      </c>
      <c r="G20" s="16">
        <f t="shared" si="0"/>
        <v>209261.97732000003</v>
      </c>
    </row>
    <row r="21" spans="1:7" x14ac:dyDescent="0.35">
      <c r="A21" s="8" t="str">
        <f>'FMD Demand'!A21</f>
        <v>Madhya Pradesh</v>
      </c>
      <c r="B21" s="3">
        <f>'FMD Demand'!K21</f>
        <v>121768702.661265</v>
      </c>
      <c r="C21" s="3">
        <f>'Brucellosis Demand'!K21</f>
        <v>43563201.779741883</v>
      </c>
      <c r="D21" s="3">
        <f>'PPR Demand'!K21</f>
        <v>17074360.021585628</v>
      </c>
      <c r="E21" s="3">
        <f>'CSF Demand'!K21</f>
        <v>246789.52930500003</v>
      </c>
      <c r="F21" s="3">
        <f>'LSD Demand'!K21</f>
        <v>28110924.917377502</v>
      </c>
      <c r="G21" s="16">
        <f t="shared" si="0"/>
        <v>210763978.90927505</v>
      </c>
    </row>
    <row r="22" spans="1:7" x14ac:dyDescent="0.35">
      <c r="A22" s="8" t="str">
        <f>'FMD Demand'!A22</f>
        <v>Maharashtra</v>
      </c>
      <c r="B22" s="3">
        <f>'FMD Demand'!K22</f>
        <v>99072641.29268004</v>
      </c>
      <c r="C22" s="3">
        <f>'Brucellosis Demand'!K22</f>
        <v>29377986.520767506</v>
      </c>
      <c r="D22" s="3">
        <f>'PPR Demand'!K22</f>
        <v>19916965.642447505</v>
      </c>
      <c r="E22" s="3">
        <f>'CSF Demand'!K22</f>
        <v>241368.48312500003</v>
      </c>
      <c r="F22" s="3">
        <f>'LSD Demand'!K22</f>
        <v>20977026.036670003</v>
      </c>
      <c r="G22" s="16">
        <f t="shared" si="0"/>
        <v>169585987.97569007</v>
      </c>
    </row>
    <row r="23" spans="1:7" x14ac:dyDescent="0.35">
      <c r="A23" s="8" t="str">
        <f>'FMD Demand'!A23</f>
        <v>Manipur</v>
      </c>
      <c r="B23" s="3">
        <f>'FMD Demand'!K23</f>
        <v>1620841.8355937505</v>
      </c>
      <c r="C23" s="3">
        <f>'Brucellosis Demand'!K23</f>
        <v>390840.03905375011</v>
      </c>
      <c r="D23" s="3">
        <f>'PPR Demand'!K23</f>
        <v>66890.552671250014</v>
      </c>
      <c r="E23" s="3">
        <f>'CSF Demand'!K23</f>
        <v>352690.32607187505</v>
      </c>
      <c r="F23" s="3">
        <f>'LSD Demand'!K23</f>
        <v>336524.63443500007</v>
      </c>
      <c r="G23" s="16">
        <f t="shared" si="0"/>
        <v>2767787.3878256255</v>
      </c>
    </row>
    <row r="24" spans="1:7" x14ac:dyDescent="0.35">
      <c r="A24" s="8" t="str">
        <f>'FMD Demand'!A24</f>
        <v>Meghalaya</v>
      </c>
      <c r="B24" s="3">
        <f>'FMD Demand'!K24</f>
        <v>6113159.0614875006</v>
      </c>
      <c r="C24" s="3">
        <f>'Brucellosis Demand'!K24</f>
        <v>1378175.0598825004</v>
      </c>
      <c r="D24" s="3">
        <f>'PPR Demand'!K24</f>
        <v>619435.48195375013</v>
      </c>
      <c r="E24" s="3">
        <f>'CSF Demand'!K24</f>
        <v>1058968.9889075002</v>
      </c>
      <c r="F24" s="3">
        <f>'LSD Demand'!K24</f>
        <v>1354616.8962562501</v>
      </c>
      <c r="G24" s="16">
        <f t="shared" si="0"/>
        <v>10524355.488487501</v>
      </c>
    </row>
    <row r="25" spans="1:7" x14ac:dyDescent="0.35">
      <c r="A25" s="8" t="str">
        <f>'FMD Demand'!A25</f>
        <v>Mizoram</v>
      </c>
      <c r="B25" s="3">
        <f>'FMD Demand'!K25</f>
        <v>1066159.0711750002</v>
      </c>
      <c r="C25" s="3">
        <f>'Brucellosis Demand'!K25</f>
        <v>71675.94520625002</v>
      </c>
      <c r="D25" s="3">
        <f>'PPR Demand'!K25</f>
        <v>22944.997728125003</v>
      </c>
      <c r="E25" s="3">
        <f>'CSF Demand'!K25</f>
        <v>438458.59265312506</v>
      </c>
      <c r="F25" s="3">
        <f>'LSD Demand'!K25</f>
        <v>68514.167995625015</v>
      </c>
      <c r="G25" s="16">
        <f t="shared" si="0"/>
        <v>1667752.7747581252</v>
      </c>
    </row>
    <row r="26" spans="1:7" x14ac:dyDescent="0.35">
      <c r="A26" s="8" t="str">
        <f>'FMD Demand'!A26</f>
        <v>Nagaland</v>
      </c>
      <c r="B26" s="3">
        <f>'FMD Demand'!K26</f>
        <v>1590957.1191800004</v>
      </c>
      <c r="C26" s="3">
        <f>'Brucellosis Demand'!K26</f>
        <v>140848.25459375003</v>
      </c>
      <c r="D26" s="3">
        <f>'PPR Demand'!K26</f>
        <v>47918.390224375005</v>
      </c>
      <c r="E26" s="3">
        <f>'CSF Demand'!K26</f>
        <v>606711.91477187502</v>
      </c>
      <c r="F26" s="3">
        <f>'LSD Demand'!K26</f>
        <v>117380.04195500002</v>
      </c>
      <c r="G26" s="16">
        <f t="shared" si="0"/>
        <v>2503815.7207250008</v>
      </c>
    </row>
    <row r="27" spans="1:7" x14ac:dyDescent="0.35">
      <c r="A27" s="8" t="str">
        <f>'FMD Demand'!A27</f>
        <v>Odisha</v>
      </c>
      <c r="B27" s="3">
        <f>'FMD Demand'!K27</f>
        <v>54480485.669376254</v>
      </c>
      <c r="C27" s="3">
        <f>'Brucellosis Demand'!K27</f>
        <v>15534976.301088754</v>
      </c>
      <c r="D27" s="3">
        <f>'PPR Demand'!K27</f>
        <v>11502633.944058128</v>
      </c>
      <c r="E27" s="3">
        <f>'CSF Demand'!K27</f>
        <v>202632.58954125002</v>
      </c>
      <c r="F27" s="3">
        <f>'LSD Demand'!K27</f>
        <v>14847864.69450625</v>
      </c>
      <c r="G27" s="16">
        <f t="shared" si="0"/>
        <v>96568593.198570639</v>
      </c>
    </row>
    <row r="28" spans="1:7" x14ac:dyDescent="0.35">
      <c r="A28" s="8" t="str">
        <f>'FMD Demand'!A28</f>
        <v>Puducherry</v>
      </c>
      <c r="B28" s="3">
        <f>'FMD Demand'!K28</f>
        <v>453754.7580775001</v>
      </c>
      <c r="C28" s="3">
        <f>'Brucellosis Demand'!K28</f>
        <v>111507.74165437502</v>
      </c>
      <c r="D28" s="3">
        <f>'PPR Demand'!K28</f>
        <v>114050.35623437501</v>
      </c>
      <c r="E28" s="3">
        <f>'CSF Demand'!K28</f>
        <v>1319.2811500000003</v>
      </c>
      <c r="F28" s="3">
        <f>'LSD Demand'!K28</f>
        <v>107917.19807000001</v>
      </c>
      <c r="G28" s="16">
        <f t="shared" si="0"/>
        <v>788549.33518625028</v>
      </c>
    </row>
    <row r="29" spans="1:7" x14ac:dyDescent="0.35">
      <c r="A29" s="8" t="str">
        <f>'FMD Demand'!A29</f>
        <v>Punjab</v>
      </c>
      <c r="B29" s="3">
        <f>'FMD Demand'!K29</f>
        <v>21090139.403451256</v>
      </c>
      <c r="C29" s="3">
        <f>'Brucellosis Demand'!K29</f>
        <v>9815762.0869068764</v>
      </c>
      <c r="D29" s="3">
        <f>'PPR Demand'!K29</f>
        <v>649909.37733562512</v>
      </c>
      <c r="E29" s="3">
        <f>'CSF Demand'!K29</f>
        <v>79398.237483125005</v>
      </c>
      <c r="F29" s="3">
        <f>'LSD Demand'!K29</f>
        <v>3795122.1136125005</v>
      </c>
      <c r="G29" s="16">
        <f t="shared" si="0"/>
        <v>35430331.218789384</v>
      </c>
    </row>
    <row r="30" spans="1:7" x14ac:dyDescent="0.35">
      <c r="A30" s="8" t="str">
        <f>'FMD Demand'!A30</f>
        <v>Rajasthan</v>
      </c>
      <c r="B30" s="3">
        <f>'FMD Demand'!K30</f>
        <v>169497086.41637751</v>
      </c>
      <c r="C30" s="3">
        <f>'Brucellosis Demand'!K30</f>
        <v>41423847.970986247</v>
      </c>
      <c r="D30" s="3">
        <f>'PPR Demand'!K30</f>
        <v>43092609.695987508</v>
      </c>
      <c r="E30" s="3">
        <f>'CSF Demand'!K30</f>
        <v>232085.54121500006</v>
      </c>
      <c r="F30" s="3">
        <f>'LSD Demand'!K30</f>
        <v>20895059.698493756</v>
      </c>
      <c r="G30" s="16">
        <f t="shared" si="0"/>
        <v>275140689.32306004</v>
      </c>
    </row>
    <row r="31" spans="1:7" x14ac:dyDescent="0.35">
      <c r="A31" s="8" t="str">
        <f>'FMD Demand'!A31</f>
        <v>Sikkim</v>
      </c>
      <c r="B31" s="3">
        <f>'FMD Demand'!K31</f>
        <v>806548.52778500016</v>
      </c>
      <c r="C31" s="3">
        <f>'Brucellosis Demand'!K31</f>
        <v>223609.15982625002</v>
      </c>
      <c r="D31" s="3">
        <f>'PPR Demand'!K31</f>
        <v>138707.42109125006</v>
      </c>
      <c r="E31" s="3">
        <f>'CSF Demand'!K31</f>
        <v>40957.682975000003</v>
      </c>
      <c r="F31" s="3">
        <f>'LSD Demand'!K31</f>
        <v>221894.09433125006</v>
      </c>
      <c r="G31" s="16">
        <f t="shared" si="0"/>
        <v>1431716.8860087504</v>
      </c>
    </row>
    <row r="32" spans="1:7" x14ac:dyDescent="0.35">
      <c r="A32" s="8" t="str">
        <f>'FMD Demand'!A32</f>
        <v>Tamil Nadu</v>
      </c>
      <c r="B32" s="3">
        <f>'FMD Demand'!K32</f>
        <v>73440375.803190008</v>
      </c>
      <c r="C32" s="3">
        <f>'Brucellosis Demand'!K32</f>
        <v>15047983.153946878</v>
      </c>
      <c r="D32" s="3">
        <f>'PPR Demand'!K32</f>
        <v>21572101.292025626</v>
      </c>
      <c r="E32" s="3">
        <f>'CSF Demand'!K32</f>
        <v>100103.45562250003</v>
      </c>
      <c r="F32" s="3">
        <f>'LSD Demand'!K32</f>
        <v>14270214.444612501</v>
      </c>
      <c r="G32" s="16">
        <f t="shared" si="0"/>
        <v>124430778.14939751</v>
      </c>
    </row>
    <row r="33" spans="1:7" x14ac:dyDescent="0.35">
      <c r="A33" s="8" t="str">
        <f>'FMD Demand'!A33</f>
        <v>Telangana</v>
      </c>
      <c r="B33" s="3">
        <f>'FMD Demand'!K33</f>
        <v>97850387.274530008</v>
      </c>
      <c r="C33" s="3">
        <f>'Brucellosis Demand'!K33</f>
        <v>12681357.680990625</v>
      </c>
      <c r="D33" s="3">
        <f>'PPR Demand'!K33</f>
        <v>35976993.353489377</v>
      </c>
      <c r="E33" s="3">
        <f>'CSF Demand'!K33</f>
        <v>266842.60278500005</v>
      </c>
      <c r="F33" s="3">
        <f>'LSD Demand'!K33</f>
        <v>6345351.0447043758</v>
      </c>
      <c r="G33" s="16">
        <f t="shared" si="0"/>
        <v>153120931.95649937</v>
      </c>
    </row>
    <row r="34" spans="1:7" x14ac:dyDescent="0.35">
      <c r="A34" s="8" t="str">
        <f>'FMD Demand'!A34</f>
        <v>Tripura</v>
      </c>
      <c r="B34" s="3">
        <f>'FMD Demand'!K34</f>
        <v>3951429.9445912507</v>
      </c>
      <c r="C34" s="3">
        <f>'Brucellosis Demand'!K34</f>
        <v>1118633.4789162502</v>
      </c>
      <c r="D34" s="3">
        <f>'PPR Demand'!K34</f>
        <v>548197.29822000011</v>
      </c>
      <c r="E34" s="3">
        <f>'CSF Demand'!K34</f>
        <v>308884.19515937509</v>
      </c>
      <c r="F34" s="3">
        <f>'LSD Demand'!K34</f>
        <v>1107942.8040518751</v>
      </c>
      <c r="G34" s="16">
        <f t="shared" si="0"/>
        <v>7035087.7209387505</v>
      </c>
    </row>
    <row r="35" spans="1:7" x14ac:dyDescent="0.35">
      <c r="A35" s="8" t="str">
        <f>'FMD Demand'!A35</f>
        <v>Uttar Pradesh</v>
      </c>
      <c r="B35" s="3">
        <f>'FMD Demand'!K35</f>
        <v>203618614.27602756</v>
      </c>
      <c r="C35" s="3">
        <f>'Brucellosis Demand'!K35</f>
        <v>78012131.744511262</v>
      </c>
      <c r="D35" s="3">
        <f>'PPR Demand'!K35</f>
        <v>23184492.232343756</v>
      </c>
      <c r="E35" s="3">
        <f>'CSF Demand'!K35</f>
        <v>612683.16115875007</v>
      </c>
      <c r="F35" s="3">
        <f>'LSD Demand'!K35</f>
        <v>28513924.830758132</v>
      </c>
      <c r="G35" s="16">
        <f t="shared" si="0"/>
        <v>333941846.24479944</v>
      </c>
    </row>
    <row r="36" spans="1:7" x14ac:dyDescent="0.35">
      <c r="A36" s="8" t="str">
        <f>'FMD Demand'!A36</f>
        <v>Uttarakhand</v>
      </c>
      <c r="B36" s="3">
        <f>'FMD Demand'!K36</f>
        <v>13170881.449247502</v>
      </c>
      <c r="C36" s="3">
        <f>'Brucellosis Demand'!K36</f>
        <v>4075440.8735081255</v>
      </c>
      <c r="D36" s="3">
        <f>'PPR Demand'!K36</f>
        <v>2483525.7763112504</v>
      </c>
      <c r="E36" s="3">
        <f>'CSF Demand'!K36</f>
        <v>26474.074804375003</v>
      </c>
      <c r="F36" s="3">
        <f>'LSD Demand'!K36</f>
        <v>2776671.5470243753</v>
      </c>
      <c r="G36" s="16">
        <f t="shared" si="0"/>
        <v>22532993.720895629</v>
      </c>
    </row>
    <row r="37" spans="1:7" x14ac:dyDescent="0.35">
      <c r="A37" s="13" t="str">
        <f>'FMD Demand'!A37</f>
        <v>West Bengal</v>
      </c>
      <c r="B37" s="17">
        <f>'FMD Demand'!K37</f>
        <v>112383021.73170877</v>
      </c>
      <c r="C37" s="17">
        <f>'Brucellosis Demand'!K37</f>
        <v>29547155.843775626</v>
      </c>
      <c r="D37" s="17">
        <f>'PPR Demand'!K37</f>
        <v>25834262.425386254</v>
      </c>
      <c r="E37" s="17">
        <f>'CSF Demand'!K37</f>
        <v>810092.59669250005</v>
      </c>
      <c r="F37" s="17">
        <f>'LSD Demand'!K37</f>
        <v>28601289.727367505</v>
      </c>
      <c r="G37" s="18">
        <f t="shared" si="0"/>
        <v>197175822.32493067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8"/>
  <sheetViews>
    <sheetView topLeftCell="A10" workbookViewId="0">
      <selection sqref="A1:B38"/>
    </sheetView>
  </sheetViews>
  <sheetFormatPr defaultRowHeight="14.5" x14ac:dyDescent="0.35"/>
  <cols>
    <col min="1" max="1" width="28" customWidth="1"/>
    <col min="2" max="2" width="22" customWidth="1"/>
  </cols>
  <sheetData>
    <row r="1" spans="1:2" x14ac:dyDescent="0.35">
      <c r="A1" t="s">
        <v>0</v>
      </c>
      <c r="B1" t="s">
        <v>82</v>
      </c>
    </row>
    <row r="2" spans="1:2" x14ac:dyDescent="0.35">
      <c r="A2" t="str">
        <f>'FMD Demand'!A2</f>
        <v>Andaman &amp; Nicobar Islands</v>
      </c>
      <c r="B2">
        <f>'FMD Demand'!K2</f>
        <v>435938.46582000016</v>
      </c>
    </row>
    <row r="3" spans="1:2" x14ac:dyDescent="0.35">
      <c r="A3" t="str">
        <f>'FMD Demand'!A3</f>
        <v>Andhra Pradesh</v>
      </c>
      <c r="B3">
        <f>'FMD Demand'!K3</f>
        <v>102126297.41633002</v>
      </c>
    </row>
    <row r="4" spans="1:2" x14ac:dyDescent="0.35">
      <c r="A4" t="str">
        <f>'FMD Demand'!A4</f>
        <v>Arunachal Pradesh</v>
      </c>
      <c r="B4">
        <f>'FMD Demand'!K4</f>
        <v>2351162.8982050004</v>
      </c>
    </row>
    <row r="5" spans="1:2" x14ac:dyDescent="0.35">
      <c r="A5" t="str">
        <f>'FMD Demand'!A5</f>
        <v>Assam</v>
      </c>
      <c r="B5">
        <f>'FMD Demand'!K5</f>
        <v>54202147.330388762</v>
      </c>
    </row>
    <row r="6" spans="1:2" x14ac:dyDescent="0.35">
      <c r="A6" t="str">
        <f>'FMD Demand'!A6</f>
        <v>Bihar</v>
      </c>
      <c r="B6">
        <f>'FMD Demand'!K6</f>
        <v>109427777.98511629</v>
      </c>
    </row>
    <row r="7" spans="1:2" x14ac:dyDescent="0.35">
      <c r="A7" t="str">
        <f>'FMD Demand'!A7</f>
        <v>Chandigarh</v>
      </c>
      <c r="B7">
        <f>'FMD Demand'!K7</f>
        <v>80215.292286250013</v>
      </c>
    </row>
    <row r="8" spans="1:2" x14ac:dyDescent="0.35">
      <c r="A8" t="str">
        <f>'FMD Demand'!A8</f>
        <v>Chhattisgarh</v>
      </c>
      <c r="B8">
        <f>'FMD Demand'!K8</f>
        <v>47588458.997323759</v>
      </c>
    </row>
    <row r="9" spans="1:2" x14ac:dyDescent="0.35">
      <c r="A9" t="str">
        <f>'FMD Demand'!A9</f>
        <v>Dadra &amp; Nagar Haveli</v>
      </c>
      <c r="B9">
        <f>'FMD Demand'!K9</f>
        <v>145015.98368125004</v>
      </c>
    </row>
    <row r="10" spans="1:2" x14ac:dyDescent="0.35">
      <c r="A10" t="str">
        <f>'FMD Demand'!A10</f>
        <v>Daman &amp; Diu</v>
      </c>
      <c r="B10">
        <f>'FMD Demand'!K10</f>
        <v>9801.6592712500023</v>
      </c>
    </row>
    <row r="11" spans="1:2" x14ac:dyDescent="0.35">
      <c r="A11" t="str">
        <f>'FMD Demand'!A11</f>
        <v>Delhi</v>
      </c>
      <c r="B11">
        <f>'FMD Demand'!K11</f>
        <v>1068386.8572987502</v>
      </c>
    </row>
    <row r="12" spans="1:2" x14ac:dyDescent="0.35">
      <c r="A12" t="str">
        <f>'FMD Demand'!A12</f>
        <v>Goa</v>
      </c>
      <c r="B12">
        <f>'FMD Demand'!K12</f>
        <v>396947.71110500011</v>
      </c>
    </row>
    <row r="13" spans="1:2" x14ac:dyDescent="0.35">
      <c r="A13" t="str">
        <f>'FMD Demand'!A13</f>
        <v>Gujarat</v>
      </c>
      <c r="B13">
        <f>'FMD Demand'!K13</f>
        <v>80453818.318170011</v>
      </c>
    </row>
    <row r="14" spans="1:2" x14ac:dyDescent="0.35">
      <c r="A14" t="str">
        <f>'FMD Demand'!A14</f>
        <v>Haryana</v>
      </c>
      <c r="B14">
        <f>'FMD Demand'!K14</f>
        <v>21072383.078518752</v>
      </c>
    </row>
    <row r="15" spans="1:2" x14ac:dyDescent="0.35">
      <c r="A15" t="str">
        <f>'FMD Demand'!A15</f>
        <v>Himachal Pradesh</v>
      </c>
      <c r="B15">
        <f>'FMD Demand'!K15</f>
        <v>13123300.375226252</v>
      </c>
    </row>
    <row r="16" spans="1:2" x14ac:dyDescent="0.35">
      <c r="A16" t="str">
        <f>'FMD Demand'!A16</f>
        <v>Jammu &amp; Kashmir</v>
      </c>
      <c r="B16">
        <f>'FMD Demand'!K16</f>
        <v>24613603.538081255</v>
      </c>
    </row>
    <row r="17" spans="1:2" x14ac:dyDescent="0.35">
      <c r="A17" t="str">
        <f>'FMD Demand'!A17</f>
        <v>Jharkhand</v>
      </c>
      <c r="B17">
        <f>'FMD Demand'!K17</f>
        <v>70799504.76117751</v>
      </c>
    </row>
    <row r="18" spans="1:2" x14ac:dyDescent="0.35">
      <c r="A18" t="str">
        <f>'FMD Demand'!A18</f>
        <v>Karnataka</v>
      </c>
      <c r="B18">
        <f>'FMD Demand'!K18</f>
        <v>86945185.301700011</v>
      </c>
    </row>
    <row r="19" spans="1:2" x14ac:dyDescent="0.35">
      <c r="A19" t="str">
        <f>'FMD Demand'!A19</f>
        <v>Kerala</v>
      </c>
      <c r="B19">
        <f>'FMD Demand'!K19</f>
        <v>8719267.0451974999</v>
      </c>
    </row>
    <row r="20" spans="1:2" x14ac:dyDescent="0.35">
      <c r="A20" t="str">
        <f>'FMD Demand'!A20</f>
        <v>Lakshadweep</v>
      </c>
      <c r="B20">
        <f>'FMD Demand'!K20</f>
        <v>137016.34252625002</v>
      </c>
    </row>
    <row r="21" spans="1:2" x14ac:dyDescent="0.35">
      <c r="A21" t="str">
        <f>'FMD Demand'!A21</f>
        <v>Madhya Pradesh</v>
      </c>
      <c r="B21">
        <f>'FMD Demand'!K21</f>
        <v>121768702.661265</v>
      </c>
    </row>
    <row r="22" spans="1:2" x14ac:dyDescent="0.35">
      <c r="A22" t="str">
        <f>'FMD Demand'!A22</f>
        <v>Maharashtra</v>
      </c>
      <c r="B22">
        <f>'FMD Demand'!K22</f>
        <v>99072641.29268004</v>
      </c>
    </row>
    <row r="23" spans="1:2" x14ac:dyDescent="0.35">
      <c r="A23" t="str">
        <f>'FMD Demand'!A23</f>
        <v>Manipur</v>
      </c>
      <c r="B23">
        <f>'FMD Demand'!K23</f>
        <v>1620841.8355937505</v>
      </c>
    </row>
    <row r="24" spans="1:2" x14ac:dyDescent="0.35">
      <c r="A24" t="str">
        <f>'FMD Demand'!A24</f>
        <v>Meghalaya</v>
      </c>
      <c r="B24">
        <f>'FMD Demand'!K24</f>
        <v>6113159.0614875006</v>
      </c>
    </row>
    <row r="25" spans="1:2" x14ac:dyDescent="0.35">
      <c r="A25" t="str">
        <f>'FMD Demand'!A25</f>
        <v>Mizoram</v>
      </c>
      <c r="B25">
        <f>'FMD Demand'!K25</f>
        <v>1066159.0711750002</v>
      </c>
    </row>
    <row r="26" spans="1:2" x14ac:dyDescent="0.35">
      <c r="A26" t="str">
        <f>'FMD Demand'!A26</f>
        <v>Nagaland</v>
      </c>
      <c r="B26">
        <f>'FMD Demand'!K26</f>
        <v>1590957.1191800004</v>
      </c>
    </row>
    <row r="27" spans="1:2" x14ac:dyDescent="0.35">
      <c r="A27" t="str">
        <f>'FMD Demand'!A27</f>
        <v>Odisha</v>
      </c>
      <c r="B27">
        <f>'FMD Demand'!K27</f>
        <v>54480485.669376254</v>
      </c>
    </row>
    <row r="28" spans="1:2" x14ac:dyDescent="0.35">
      <c r="A28" t="str">
        <f>'FMD Demand'!A28</f>
        <v>Puducherry</v>
      </c>
      <c r="B28">
        <f>'FMD Demand'!K28</f>
        <v>453754.7580775001</v>
      </c>
    </row>
    <row r="29" spans="1:2" x14ac:dyDescent="0.35">
      <c r="A29" t="str">
        <f>'FMD Demand'!A29</f>
        <v>Punjab</v>
      </c>
      <c r="B29">
        <f>'FMD Demand'!K29</f>
        <v>21090139.403451256</v>
      </c>
    </row>
    <row r="30" spans="1:2" x14ac:dyDescent="0.35">
      <c r="A30" t="str">
        <f>'FMD Demand'!A30</f>
        <v>Rajasthan</v>
      </c>
      <c r="B30">
        <f>'FMD Demand'!K30</f>
        <v>169497086.41637751</v>
      </c>
    </row>
    <row r="31" spans="1:2" x14ac:dyDescent="0.35">
      <c r="A31" t="str">
        <f>'FMD Demand'!A31</f>
        <v>Sikkim</v>
      </c>
      <c r="B31">
        <f>'FMD Demand'!K31</f>
        <v>806548.52778500016</v>
      </c>
    </row>
    <row r="32" spans="1:2" x14ac:dyDescent="0.35">
      <c r="A32" t="str">
        <f>'FMD Demand'!A32</f>
        <v>Tamil Nadu</v>
      </c>
      <c r="B32">
        <f>'FMD Demand'!K32</f>
        <v>73440375.803190008</v>
      </c>
    </row>
    <row r="33" spans="1:2" x14ac:dyDescent="0.35">
      <c r="A33" t="str">
        <f>'FMD Demand'!A33</f>
        <v>Telangana</v>
      </c>
      <c r="B33">
        <f>'FMD Demand'!K33</f>
        <v>97850387.274530008</v>
      </c>
    </row>
    <row r="34" spans="1:2" x14ac:dyDescent="0.35">
      <c r="A34" t="str">
        <f>'FMD Demand'!A34</f>
        <v>Tripura</v>
      </c>
      <c r="B34">
        <f>'FMD Demand'!K34</f>
        <v>3951429.9445912507</v>
      </c>
    </row>
    <row r="35" spans="1:2" x14ac:dyDescent="0.35">
      <c r="A35" t="str">
        <f>'FMD Demand'!A35</f>
        <v>Uttar Pradesh</v>
      </c>
      <c r="B35">
        <f>'FMD Demand'!K35</f>
        <v>203618614.27602756</v>
      </c>
    </row>
    <row r="36" spans="1:2" x14ac:dyDescent="0.35">
      <c r="A36" t="str">
        <f>'FMD Demand'!A36</f>
        <v>Uttarakhand</v>
      </c>
      <c r="B36">
        <f>'FMD Demand'!K36</f>
        <v>13170881.449247502</v>
      </c>
    </row>
    <row r="37" spans="1:2" x14ac:dyDescent="0.35">
      <c r="A37" t="str">
        <f>'FMD Demand'!A37</f>
        <v>West Bengal</v>
      </c>
      <c r="B37">
        <f>'FMD Demand'!K37</f>
        <v>112383021.73170877</v>
      </c>
    </row>
    <row r="38" spans="1:2" x14ac:dyDescent="0.35">
      <c r="A38" t="s">
        <v>108</v>
      </c>
      <c r="B38">
        <f>SUM(B2:B37)</f>
        <v>1605671415.6531677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8"/>
  <sheetViews>
    <sheetView workbookViewId="0"/>
  </sheetViews>
  <sheetFormatPr defaultRowHeight="14.5" x14ac:dyDescent="0.35"/>
  <cols>
    <col min="1" max="1" width="28" customWidth="1"/>
    <col min="2" max="2" width="22" customWidth="1"/>
  </cols>
  <sheetData>
    <row r="1" spans="1:2" x14ac:dyDescent="0.35">
      <c r="A1" t="s">
        <v>0</v>
      </c>
      <c r="B1" t="s">
        <v>82</v>
      </c>
    </row>
    <row r="2" spans="1:2" x14ac:dyDescent="0.35">
      <c r="A2" t="str">
        <f>'Brucellosis Demand'!A2</f>
        <v>Andaman &amp; Nicobar Islands</v>
      </c>
      <c r="B2">
        <f>'Brucellosis Demand'!K2</f>
        <v>60174.212271250006</v>
      </c>
    </row>
    <row r="3" spans="1:2" x14ac:dyDescent="0.35">
      <c r="A3" t="str">
        <f>'Brucellosis Demand'!A3</f>
        <v>Andhra Pradesh</v>
      </c>
      <c r="B3">
        <f>'Brucellosis Demand'!K3</f>
        <v>16220540.750686252</v>
      </c>
    </row>
    <row r="4" spans="1:2" x14ac:dyDescent="0.35">
      <c r="A4" t="str">
        <f>'Brucellosis Demand'!A4</f>
        <v>Arunachal Pradesh</v>
      </c>
      <c r="B4">
        <f>'Brucellosis Demand'!K4</f>
        <v>518117.68800000008</v>
      </c>
    </row>
    <row r="5" spans="1:2" x14ac:dyDescent="0.35">
      <c r="A5" t="str">
        <f>'Brucellosis Demand'!A5</f>
        <v>Assam</v>
      </c>
      <c r="B5">
        <f>'Brucellosis Demand'!K5</f>
        <v>16987175.026951253</v>
      </c>
    </row>
    <row r="6" spans="1:2" x14ac:dyDescent="0.35">
      <c r="A6" t="str">
        <f>'Brucellosis Demand'!A6</f>
        <v>Bihar</v>
      </c>
      <c r="B6">
        <f>'Brucellosis Demand'!K6</f>
        <v>34657776.668363757</v>
      </c>
    </row>
    <row r="7" spans="1:2" x14ac:dyDescent="0.35">
      <c r="A7" t="str">
        <f>'Brucellosis Demand'!A7</f>
        <v>Chandigarh</v>
      </c>
      <c r="B7">
        <f>'Brucellosis Demand'!K7</f>
        <v>38404.574113125011</v>
      </c>
    </row>
    <row r="8" spans="1:2" x14ac:dyDescent="0.35">
      <c r="A8" t="str">
        <f>'Brucellosis Demand'!A8</f>
        <v>Chhattisgarh</v>
      </c>
      <c r="B8">
        <f>'Brucellosis Demand'!K8</f>
        <v>16728898.756542504</v>
      </c>
    </row>
    <row r="9" spans="1:2" x14ac:dyDescent="0.35">
      <c r="A9" t="str">
        <f>'Brucellosis Demand'!A9</f>
        <v>Dadra &amp; Nagar Haveli</v>
      </c>
      <c r="B9">
        <f>'Brucellosis Demand'!K9</f>
        <v>61066.226230625012</v>
      </c>
    </row>
    <row r="10" spans="1:2" x14ac:dyDescent="0.35">
      <c r="A10" t="str">
        <f>'Brucellosis Demand'!A10</f>
        <v>Daman &amp; Diu</v>
      </c>
      <c r="B10">
        <f>'Brucellosis Demand'!K10</f>
        <v>3319.1914387500005</v>
      </c>
    </row>
    <row r="11" spans="1:2" x14ac:dyDescent="0.35">
      <c r="A11" t="str">
        <f>'Brucellosis Demand'!A11</f>
        <v>Delhi</v>
      </c>
      <c r="B11">
        <f>'Brucellosis Demand'!K11</f>
        <v>372659.44529687503</v>
      </c>
    </row>
    <row r="12" spans="1:2" x14ac:dyDescent="0.35">
      <c r="A12" t="str">
        <f>'Brucellosis Demand'!A12</f>
        <v>Goa</v>
      </c>
      <c r="B12">
        <f>'Brucellosis Demand'!K12</f>
        <v>131109.56101375003</v>
      </c>
    </row>
    <row r="13" spans="1:2" x14ac:dyDescent="0.35">
      <c r="A13" t="str">
        <f>'Brucellosis Demand'!A13</f>
        <v>Gujarat</v>
      </c>
      <c r="B13">
        <f>'Brucellosis Demand'!K13</f>
        <v>30248848.505431876</v>
      </c>
    </row>
    <row r="14" spans="1:2" x14ac:dyDescent="0.35">
      <c r="A14" t="str">
        <f>'Brucellosis Demand'!A14</f>
        <v>Haryana</v>
      </c>
      <c r="B14">
        <f>'Brucellosis Demand'!K14</f>
        <v>9439913.8791031279</v>
      </c>
    </row>
    <row r="15" spans="1:2" x14ac:dyDescent="0.35">
      <c r="A15" t="str">
        <f>'Brucellosis Demand'!A15</f>
        <v>Himachal Pradesh</v>
      </c>
      <c r="B15">
        <f>'Brucellosis Demand'!K15</f>
        <v>3709851.5758287502</v>
      </c>
    </row>
    <row r="16" spans="1:2" x14ac:dyDescent="0.35">
      <c r="A16" t="str">
        <f>'Brucellosis Demand'!A16</f>
        <v>Jammu &amp; Kashmir</v>
      </c>
      <c r="B16">
        <f>'Brucellosis Demand'!K16</f>
        <v>4842464.9373856261</v>
      </c>
    </row>
    <row r="17" spans="1:2" x14ac:dyDescent="0.35">
      <c r="A17" t="str">
        <f>'Brucellosis Demand'!A17</f>
        <v>Jharkhand</v>
      </c>
      <c r="B17">
        <f>'Brucellosis Demand'!K17</f>
        <v>18849776.632465631</v>
      </c>
    </row>
    <row r="18" spans="1:2" x14ac:dyDescent="0.35">
      <c r="A18" t="str">
        <f>'Brucellosis Demand'!A18</f>
        <v>Karnataka</v>
      </c>
      <c r="B18">
        <f>'Brucellosis Demand'!K18</f>
        <v>17170989.869907502</v>
      </c>
    </row>
    <row r="19" spans="1:2" x14ac:dyDescent="0.35">
      <c r="A19" t="str">
        <f>'Brucellosis Demand'!A19</f>
        <v>Kerala</v>
      </c>
      <c r="B19">
        <f>'Brucellosis Demand'!K19</f>
        <v>2164070.8409375004</v>
      </c>
    </row>
    <row r="20" spans="1:2" x14ac:dyDescent="0.35">
      <c r="A20" t="str">
        <f>'Brucellosis Demand'!A20</f>
        <v>Lakshadweep</v>
      </c>
      <c r="B20">
        <f>'Brucellosis Demand'!K20</f>
        <v>3761.4504606250002</v>
      </c>
    </row>
    <row r="21" spans="1:2" x14ac:dyDescent="0.35">
      <c r="A21" t="str">
        <f>'Brucellosis Demand'!A21</f>
        <v>Madhya Pradesh</v>
      </c>
      <c r="B21">
        <f>'Brucellosis Demand'!K21</f>
        <v>43563201.779741883</v>
      </c>
    </row>
    <row r="22" spans="1:2" x14ac:dyDescent="0.35">
      <c r="A22" t="str">
        <f>'Brucellosis Demand'!A22</f>
        <v>Maharashtra</v>
      </c>
      <c r="B22">
        <f>'Brucellosis Demand'!K22</f>
        <v>29377986.520767506</v>
      </c>
    </row>
    <row r="23" spans="1:2" x14ac:dyDescent="0.35">
      <c r="A23" t="str">
        <f>'Brucellosis Demand'!A23</f>
        <v>Manipur</v>
      </c>
      <c r="B23">
        <f>'Brucellosis Demand'!K23</f>
        <v>390840.03905375011</v>
      </c>
    </row>
    <row r="24" spans="1:2" x14ac:dyDescent="0.35">
      <c r="A24" t="str">
        <f>'Brucellosis Demand'!A24</f>
        <v>Meghalaya</v>
      </c>
      <c r="B24">
        <f>'Brucellosis Demand'!K24</f>
        <v>1378175.0598825004</v>
      </c>
    </row>
    <row r="25" spans="1:2" x14ac:dyDescent="0.35">
      <c r="A25" t="str">
        <f>'Brucellosis Demand'!A25</f>
        <v>Mizoram</v>
      </c>
      <c r="B25">
        <f>'Brucellosis Demand'!K25</f>
        <v>71675.94520625002</v>
      </c>
    </row>
    <row r="26" spans="1:2" x14ac:dyDescent="0.35">
      <c r="A26" t="str">
        <f>'Brucellosis Demand'!A26</f>
        <v>Nagaland</v>
      </c>
      <c r="B26">
        <f>'Brucellosis Demand'!K26</f>
        <v>140848.25459375003</v>
      </c>
    </row>
    <row r="27" spans="1:2" x14ac:dyDescent="0.35">
      <c r="A27" t="str">
        <f>'Brucellosis Demand'!A27</f>
        <v>Odisha</v>
      </c>
      <c r="B27">
        <f>'Brucellosis Demand'!K27</f>
        <v>15534976.301088754</v>
      </c>
    </row>
    <row r="28" spans="1:2" x14ac:dyDescent="0.35">
      <c r="A28" t="str">
        <f>'Brucellosis Demand'!A28</f>
        <v>Puducherry</v>
      </c>
      <c r="B28">
        <f>'Brucellosis Demand'!K28</f>
        <v>111507.74165437502</v>
      </c>
    </row>
    <row r="29" spans="1:2" x14ac:dyDescent="0.35">
      <c r="A29" t="str">
        <f>'Brucellosis Demand'!A29</f>
        <v>Punjab</v>
      </c>
      <c r="B29">
        <f>'Brucellosis Demand'!K29</f>
        <v>9815762.0869068764</v>
      </c>
    </row>
    <row r="30" spans="1:2" x14ac:dyDescent="0.35">
      <c r="A30" t="str">
        <f>'Brucellosis Demand'!A30</f>
        <v>Rajasthan</v>
      </c>
      <c r="B30">
        <f>'Brucellosis Demand'!K30</f>
        <v>41423847.970986247</v>
      </c>
    </row>
    <row r="31" spans="1:2" x14ac:dyDescent="0.35">
      <c r="A31" t="str">
        <f>'Brucellosis Demand'!A31</f>
        <v>Sikkim</v>
      </c>
      <c r="B31">
        <f>'Brucellosis Demand'!K31</f>
        <v>223609.15982625002</v>
      </c>
    </row>
    <row r="32" spans="1:2" x14ac:dyDescent="0.35">
      <c r="A32" t="str">
        <f>'Brucellosis Demand'!A32</f>
        <v>Tamil Nadu</v>
      </c>
      <c r="B32">
        <f>'Brucellosis Demand'!K32</f>
        <v>15047983.153946878</v>
      </c>
    </row>
    <row r="33" spans="1:2" x14ac:dyDescent="0.35">
      <c r="A33" t="str">
        <f>'Brucellosis Demand'!A33</f>
        <v>Telangana</v>
      </c>
      <c r="B33">
        <f>'Brucellosis Demand'!K33</f>
        <v>12681357.680990625</v>
      </c>
    </row>
    <row r="34" spans="1:2" x14ac:dyDescent="0.35">
      <c r="A34" t="str">
        <f>'Brucellosis Demand'!A34</f>
        <v>Tripura</v>
      </c>
      <c r="B34">
        <f>'Brucellosis Demand'!K34</f>
        <v>1118633.4789162502</v>
      </c>
    </row>
    <row r="35" spans="1:2" x14ac:dyDescent="0.35">
      <c r="A35" t="str">
        <f>'Brucellosis Demand'!A35</f>
        <v>Uttar Pradesh</v>
      </c>
      <c r="B35">
        <f>'Brucellosis Demand'!K35</f>
        <v>78012131.744511262</v>
      </c>
    </row>
    <row r="36" spans="1:2" x14ac:dyDescent="0.35">
      <c r="A36" t="str">
        <f>'Brucellosis Demand'!A36</f>
        <v>Uttarakhand</v>
      </c>
      <c r="B36">
        <f>'Brucellosis Demand'!K36</f>
        <v>4075440.8735081255</v>
      </c>
    </row>
    <row r="37" spans="1:2" x14ac:dyDescent="0.35">
      <c r="A37" t="str">
        <f>'Brucellosis Demand'!A37</f>
        <v>West Bengal</v>
      </c>
      <c r="B37">
        <f>'Brucellosis Demand'!K37</f>
        <v>29547155.843775626</v>
      </c>
    </row>
    <row r="38" spans="1:2" x14ac:dyDescent="0.35">
      <c r="A38" t="s">
        <v>108</v>
      </c>
      <c r="B38">
        <f>SUM(B2:B37)</f>
        <v>454724053.42778563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8"/>
  <sheetViews>
    <sheetView workbookViewId="0"/>
  </sheetViews>
  <sheetFormatPr defaultRowHeight="14.5" x14ac:dyDescent="0.35"/>
  <cols>
    <col min="1" max="1" width="28" customWidth="1"/>
    <col min="2" max="2" width="22" customWidth="1"/>
  </cols>
  <sheetData>
    <row r="1" spans="1:2" x14ac:dyDescent="0.35">
      <c r="A1" t="s">
        <v>0</v>
      </c>
      <c r="B1" t="s">
        <v>82</v>
      </c>
    </row>
    <row r="2" spans="1:2" x14ac:dyDescent="0.35">
      <c r="A2" t="str">
        <f>'PPR Demand'!A2</f>
        <v>Andaman &amp; Nicobar Islands</v>
      </c>
      <c r="B2">
        <f>'PPR Demand'!K2</f>
        <v>97096.094273750015</v>
      </c>
    </row>
    <row r="3" spans="1:2" x14ac:dyDescent="0.35">
      <c r="A3" t="str">
        <f>'PPR Demand'!A3</f>
        <v>Andhra Pradesh</v>
      </c>
      <c r="B3">
        <f>'PPR Demand'!K3</f>
        <v>34704746.075670011</v>
      </c>
    </row>
    <row r="4" spans="1:2" x14ac:dyDescent="0.35">
      <c r="A4" t="str">
        <f>'PPR Demand'!A4</f>
        <v>Arunachal Pradesh</v>
      </c>
      <c r="B4">
        <f>'PPR Demand'!K4</f>
        <v>250491.01244062505</v>
      </c>
    </row>
    <row r="5" spans="1:2" x14ac:dyDescent="0.35">
      <c r="A5" t="str">
        <f>'PPR Demand'!A5</f>
        <v>Assam</v>
      </c>
      <c r="B5">
        <f>'PPR Demand'!K5</f>
        <v>6967113.2588681253</v>
      </c>
    </row>
    <row r="6" spans="1:2" x14ac:dyDescent="0.35">
      <c r="A6" t="str">
        <f>'PPR Demand'!A6</f>
        <v>Bihar</v>
      </c>
      <c r="B6">
        <f>'PPR Demand'!K6</f>
        <v>19541241.866843127</v>
      </c>
    </row>
    <row r="7" spans="1:2" x14ac:dyDescent="0.35">
      <c r="A7" t="str">
        <f>'PPR Demand'!A7</f>
        <v>Chandigarh</v>
      </c>
      <c r="B7">
        <f>'PPR Demand'!K7</f>
        <v>1496.1847587500004</v>
      </c>
    </row>
    <row r="8" spans="1:2" x14ac:dyDescent="0.35">
      <c r="A8" t="str">
        <f>'PPR Demand'!A8</f>
        <v>Chhattisgarh</v>
      </c>
      <c r="B8">
        <f>'PPR Demand'!K8</f>
        <v>6275409.654373752</v>
      </c>
    </row>
    <row r="9" spans="1:2" x14ac:dyDescent="0.35">
      <c r="A9" t="str">
        <f>'PPR Demand'!A9</f>
        <v>Dadra &amp; Nagar Haveli</v>
      </c>
      <c r="B9">
        <f>'PPR Demand'!K9</f>
        <v>11441.76561</v>
      </c>
    </row>
    <row r="10" spans="1:2" x14ac:dyDescent="0.35">
      <c r="A10" t="str">
        <f>'PPR Demand'!A10</f>
        <v>Daman &amp; Diu</v>
      </c>
      <c r="B10">
        <f>'PPR Demand'!K10</f>
        <v>1581.6381968750004</v>
      </c>
    </row>
    <row r="11" spans="1:2" x14ac:dyDescent="0.35">
      <c r="A11" t="str">
        <f>'PPR Demand'!A11</f>
        <v>Delhi</v>
      </c>
      <c r="B11">
        <f>'PPR Demand'!K11</f>
        <v>47077.348491250013</v>
      </c>
    </row>
    <row r="12" spans="1:2" x14ac:dyDescent="0.35">
      <c r="A12" t="str">
        <f>'PPR Demand'!A12</f>
        <v>Goa</v>
      </c>
      <c r="B12">
        <f>'PPR Demand'!K12</f>
        <v>14173.277263750002</v>
      </c>
    </row>
    <row r="13" spans="1:2" x14ac:dyDescent="0.35">
      <c r="A13" t="str">
        <f>'PPR Demand'!A13</f>
        <v>Gujarat</v>
      </c>
      <c r="B13">
        <f>'PPR Demand'!K13</f>
        <v>9977074.1911568772</v>
      </c>
    </row>
    <row r="14" spans="1:2" x14ac:dyDescent="0.35">
      <c r="A14" t="str">
        <f>'PPR Demand'!A14</f>
        <v>Haryana</v>
      </c>
      <c r="B14">
        <f>'PPR Demand'!K14</f>
        <v>934006.07870625006</v>
      </c>
    </row>
    <row r="15" spans="1:2" x14ac:dyDescent="0.35">
      <c r="A15" t="str">
        <f>'PPR Demand'!A15</f>
        <v>Himachal Pradesh</v>
      </c>
      <c r="B15">
        <f>'PPR Demand'!K15</f>
        <v>2848085.1351837502</v>
      </c>
    </row>
    <row r="16" spans="1:2" x14ac:dyDescent="0.35">
      <c r="A16" t="str">
        <f>'PPR Demand'!A16</f>
        <v>Jammu &amp; Kashmir</v>
      </c>
      <c r="B16">
        <f>'PPR Demand'!K16</f>
        <v>7462515.3241581265</v>
      </c>
    </row>
    <row r="17" spans="1:2" x14ac:dyDescent="0.35">
      <c r="A17" t="str">
        <f>'PPR Demand'!A17</f>
        <v>Jharkhand</v>
      </c>
      <c r="B17">
        <f>'PPR Demand'!K17</f>
        <v>14635559.375442499</v>
      </c>
    </row>
    <row r="18" spans="1:2" x14ac:dyDescent="0.35">
      <c r="A18" t="str">
        <f>'PPR Demand'!A18</f>
        <v>Karnataka</v>
      </c>
      <c r="B18">
        <f>'PPR Demand'!K18</f>
        <v>25816113.314475004</v>
      </c>
    </row>
    <row r="19" spans="1:2" x14ac:dyDescent="0.35">
      <c r="A19" t="str">
        <f>'PPR Demand'!A19</f>
        <v>Kerala</v>
      </c>
      <c r="B19">
        <f>'PPR Demand'!K19</f>
        <v>2039853.0247493754</v>
      </c>
    </row>
    <row r="20" spans="1:2" x14ac:dyDescent="0.35">
      <c r="A20" t="str">
        <f>'PPR Demand'!A20</f>
        <v>Lakshadweep</v>
      </c>
      <c r="B20">
        <f>'PPR Demand'!K20</f>
        <v>64746.720802500007</v>
      </c>
    </row>
    <row r="21" spans="1:2" x14ac:dyDescent="0.35">
      <c r="A21" t="str">
        <f>'PPR Demand'!A21</f>
        <v>Madhya Pradesh</v>
      </c>
      <c r="B21">
        <f>'PPR Demand'!K21</f>
        <v>17074360.021585628</v>
      </c>
    </row>
    <row r="22" spans="1:2" x14ac:dyDescent="0.35">
      <c r="A22" t="str">
        <f>'PPR Demand'!A22</f>
        <v>Maharashtra</v>
      </c>
      <c r="B22">
        <f>'PPR Demand'!K22</f>
        <v>19916965.642447505</v>
      </c>
    </row>
    <row r="23" spans="1:2" x14ac:dyDescent="0.35">
      <c r="A23" t="str">
        <f>'PPR Demand'!A23</f>
        <v>Manipur</v>
      </c>
      <c r="B23">
        <f>'PPR Demand'!K23</f>
        <v>66890.552671250014</v>
      </c>
    </row>
    <row r="24" spans="1:2" x14ac:dyDescent="0.35">
      <c r="A24" t="str">
        <f>'PPR Demand'!A24</f>
        <v>Meghalaya</v>
      </c>
      <c r="B24">
        <f>'PPR Demand'!K24</f>
        <v>619435.48195375013</v>
      </c>
    </row>
    <row r="25" spans="1:2" x14ac:dyDescent="0.35">
      <c r="A25" t="str">
        <f>'PPR Demand'!A25</f>
        <v>Mizoram</v>
      </c>
      <c r="B25">
        <f>'PPR Demand'!K25</f>
        <v>22944.997728125003</v>
      </c>
    </row>
    <row r="26" spans="1:2" x14ac:dyDescent="0.35">
      <c r="A26" t="str">
        <f>'PPR Demand'!A26</f>
        <v>Nagaland</v>
      </c>
      <c r="B26">
        <f>'PPR Demand'!K26</f>
        <v>47918.390224375005</v>
      </c>
    </row>
    <row r="27" spans="1:2" x14ac:dyDescent="0.35">
      <c r="A27" t="str">
        <f>'PPR Demand'!A27</f>
        <v>Odisha</v>
      </c>
      <c r="B27">
        <f>'PPR Demand'!K27</f>
        <v>11502633.944058128</v>
      </c>
    </row>
    <row r="28" spans="1:2" x14ac:dyDescent="0.35">
      <c r="A28" t="str">
        <f>'PPR Demand'!A28</f>
        <v>Puducherry</v>
      </c>
      <c r="B28">
        <f>'PPR Demand'!K28</f>
        <v>114050.35623437501</v>
      </c>
    </row>
    <row r="29" spans="1:2" x14ac:dyDescent="0.35">
      <c r="A29" t="str">
        <f>'PPR Demand'!A29</f>
        <v>Punjab</v>
      </c>
      <c r="B29">
        <f>'PPR Demand'!K29</f>
        <v>649909.37733562512</v>
      </c>
    </row>
    <row r="30" spans="1:2" x14ac:dyDescent="0.35">
      <c r="A30" t="str">
        <f>'PPR Demand'!A30</f>
        <v>Rajasthan</v>
      </c>
      <c r="B30">
        <f>'PPR Demand'!K30</f>
        <v>43092609.695987508</v>
      </c>
    </row>
    <row r="31" spans="1:2" x14ac:dyDescent="0.35">
      <c r="A31" t="str">
        <f>'PPR Demand'!A31</f>
        <v>Sikkim</v>
      </c>
      <c r="B31">
        <f>'PPR Demand'!K31</f>
        <v>138707.42109125006</v>
      </c>
    </row>
    <row r="32" spans="1:2" x14ac:dyDescent="0.35">
      <c r="A32" t="str">
        <f>'PPR Demand'!A32</f>
        <v>Tamil Nadu</v>
      </c>
      <c r="B32">
        <f>'PPR Demand'!K32</f>
        <v>21572101.292025626</v>
      </c>
    </row>
    <row r="33" spans="1:2" x14ac:dyDescent="0.35">
      <c r="A33" t="str">
        <f>'PPR Demand'!A33</f>
        <v>Telangana</v>
      </c>
      <c r="B33">
        <f>'PPR Demand'!K33</f>
        <v>35976993.353489377</v>
      </c>
    </row>
    <row r="34" spans="1:2" x14ac:dyDescent="0.35">
      <c r="A34" t="str">
        <f>'PPR Demand'!A34</f>
        <v>Tripura</v>
      </c>
      <c r="B34">
        <f>'PPR Demand'!K34</f>
        <v>548197.29822000011</v>
      </c>
    </row>
    <row r="35" spans="1:2" x14ac:dyDescent="0.35">
      <c r="A35" t="str">
        <f>'PPR Demand'!A35</f>
        <v>Uttar Pradesh</v>
      </c>
      <c r="B35">
        <f>'PPR Demand'!K35</f>
        <v>23184492.232343756</v>
      </c>
    </row>
    <row r="36" spans="1:2" x14ac:dyDescent="0.35">
      <c r="A36" t="str">
        <f>'PPR Demand'!A36</f>
        <v>Uttarakhand</v>
      </c>
      <c r="B36">
        <f>'PPR Demand'!K36</f>
        <v>2483525.7763112504</v>
      </c>
    </row>
    <row r="37" spans="1:2" x14ac:dyDescent="0.35">
      <c r="A37" t="str">
        <f>'PPR Demand'!A37</f>
        <v>West Bengal</v>
      </c>
      <c r="B37">
        <f>'PPR Demand'!K37</f>
        <v>25834262.425386254</v>
      </c>
    </row>
    <row r="38" spans="1:2" x14ac:dyDescent="0.35">
      <c r="A38" t="s">
        <v>108</v>
      </c>
      <c r="B38">
        <f>SUM(B2:B37)</f>
        <v>334535819.60055822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8"/>
  <sheetViews>
    <sheetView workbookViewId="0"/>
  </sheetViews>
  <sheetFormatPr defaultRowHeight="14.5" x14ac:dyDescent="0.35"/>
  <cols>
    <col min="1" max="1" width="28" customWidth="1"/>
    <col min="2" max="2" width="22" customWidth="1"/>
  </cols>
  <sheetData>
    <row r="1" spans="1:2" x14ac:dyDescent="0.35">
      <c r="A1" t="s">
        <v>0</v>
      </c>
      <c r="B1" t="s">
        <v>82</v>
      </c>
    </row>
    <row r="2" spans="1:2" x14ac:dyDescent="0.35">
      <c r="A2" t="str">
        <f>'CSF Demand'!A2</f>
        <v>Andaman &amp; Nicobar Islands</v>
      </c>
      <c r="B2">
        <f>'CSF Demand'!K2</f>
        <v>60698.926364999999</v>
      </c>
    </row>
    <row r="3" spans="1:2" x14ac:dyDescent="0.35">
      <c r="A3" t="str">
        <f>'CSF Demand'!A3</f>
        <v>Andhra Pradesh</v>
      </c>
      <c r="B3">
        <f>'CSF Demand'!K3</f>
        <v>137861.88180875001</v>
      </c>
    </row>
    <row r="4" spans="1:2" x14ac:dyDescent="0.35">
      <c r="A4" t="str">
        <f>'CSF Demand'!A4</f>
        <v>Arunachal Pradesh</v>
      </c>
      <c r="B4">
        <f>'CSF Demand'!K4</f>
        <v>406972.74866187514</v>
      </c>
    </row>
    <row r="5" spans="1:2" x14ac:dyDescent="0.35">
      <c r="A5" t="str">
        <f>'CSF Demand'!A5</f>
        <v>Assam</v>
      </c>
      <c r="B5">
        <f>'CSF Demand'!K5</f>
        <v>3146785.3793750005</v>
      </c>
    </row>
    <row r="6" spans="1:2" x14ac:dyDescent="0.35">
      <c r="A6" t="str">
        <f>'CSF Demand'!A6</f>
        <v>Bihar</v>
      </c>
      <c r="B6">
        <f>'CSF Demand'!K6</f>
        <v>514870.45735125011</v>
      </c>
    </row>
    <row r="7" spans="1:2" x14ac:dyDescent="0.35">
      <c r="A7" t="str">
        <f>'CSF Demand'!A7</f>
        <v>Chandigarh</v>
      </c>
      <c r="B7">
        <f>'CSF Demand'!K7</f>
        <v>206.88727125000003</v>
      </c>
    </row>
    <row r="8" spans="1:2" x14ac:dyDescent="0.35">
      <c r="A8" t="str">
        <f>'CSF Demand'!A8</f>
        <v>Chhattisgarh</v>
      </c>
      <c r="B8">
        <f>'CSF Demand'!K8</f>
        <v>789921.08774562518</v>
      </c>
    </row>
    <row r="9" spans="1:2" x14ac:dyDescent="0.35">
      <c r="A9" t="str">
        <f>'CSF Demand'!A9</f>
        <v>Dadra &amp; Nagar Haveli</v>
      </c>
      <c r="B9">
        <f>'CSF Demand'!K9</f>
        <v>0</v>
      </c>
    </row>
    <row r="10" spans="1:2" x14ac:dyDescent="0.35">
      <c r="A10" t="str">
        <f>'CSF Demand'!A10</f>
        <v>Daman &amp; Diu</v>
      </c>
      <c r="B10">
        <f>'CSF Demand'!K10</f>
        <v>0</v>
      </c>
    </row>
    <row r="11" spans="1:2" x14ac:dyDescent="0.35">
      <c r="A11" t="str">
        <f>'CSF Demand'!A11</f>
        <v>Delhi</v>
      </c>
      <c r="B11">
        <f>'CSF Demand'!K11</f>
        <v>114456.63486125003</v>
      </c>
    </row>
    <row r="12" spans="1:2" x14ac:dyDescent="0.35">
      <c r="A12" t="str">
        <f>'CSF Demand'!A12</f>
        <v>Goa</v>
      </c>
      <c r="B12">
        <f>'CSF Demand'!K12</f>
        <v>53191.017275000013</v>
      </c>
    </row>
    <row r="13" spans="1:2" x14ac:dyDescent="0.35">
      <c r="A13" t="str">
        <f>'CSF Demand'!A13</f>
        <v>Gujarat</v>
      </c>
      <c r="B13">
        <f>'CSF Demand'!K13</f>
        <v>986.46249625000019</v>
      </c>
    </row>
    <row r="14" spans="1:2" x14ac:dyDescent="0.35">
      <c r="A14" t="str">
        <f>'CSF Demand'!A14</f>
        <v>Haryana</v>
      </c>
      <c r="B14">
        <f>'CSF Demand'!K14</f>
        <v>162271.58145000003</v>
      </c>
    </row>
    <row r="15" spans="1:2" x14ac:dyDescent="0.35">
      <c r="A15" t="str">
        <f>'CSF Demand'!A15</f>
        <v>Himachal Pradesh</v>
      </c>
      <c r="B15">
        <f>'CSF Demand'!K15</f>
        <v>3713.4766006250006</v>
      </c>
    </row>
    <row r="16" spans="1:2" x14ac:dyDescent="0.35">
      <c r="A16" t="str">
        <f>'CSF Demand'!A16</f>
        <v>Jammu &amp; Kashmir</v>
      </c>
      <c r="B16">
        <f>'CSF Demand'!K16</f>
        <v>1821.5074968750005</v>
      </c>
    </row>
    <row r="17" spans="1:2" x14ac:dyDescent="0.35">
      <c r="A17" t="str">
        <f>'CSF Demand'!A17</f>
        <v>Jharkhand</v>
      </c>
      <c r="B17">
        <f>'CSF Demand'!K17</f>
        <v>1914416.3726806252</v>
      </c>
    </row>
    <row r="18" spans="1:2" x14ac:dyDescent="0.35">
      <c r="A18" t="str">
        <f>'CSF Demand'!A18</f>
        <v>Karnataka</v>
      </c>
      <c r="B18">
        <f>'CSF Demand'!K18</f>
        <v>485489.46646750008</v>
      </c>
    </row>
    <row r="19" spans="1:2" x14ac:dyDescent="0.35">
      <c r="A19" t="str">
        <f>'CSF Demand'!A19</f>
        <v>Kerala</v>
      </c>
      <c r="B19">
        <f>'CSF Demand'!K19</f>
        <v>155709.65691187503</v>
      </c>
    </row>
    <row r="20" spans="1:2" x14ac:dyDescent="0.35">
      <c r="A20" t="str">
        <f>'CSF Demand'!A20</f>
        <v>Lakshadweep</v>
      </c>
      <c r="B20">
        <f>'CSF Demand'!K20</f>
        <v>0</v>
      </c>
    </row>
    <row r="21" spans="1:2" x14ac:dyDescent="0.35">
      <c r="A21" t="str">
        <f>'CSF Demand'!A21</f>
        <v>Madhya Pradesh</v>
      </c>
      <c r="B21">
        <f>'CSF Demand'!K21</f>
        <v>246789.52930500003</v>
      </c>
    </row>
    <row r="22" spans="1:2" x14ac:dyDescent="0.35">
      <c r="A22" t="str">
        <f>'CSF Demand'!A22</f>
        <v>Maharashtra</v>
      </c>
      <c r="B22">
        <f>'CSF Demand'!K22</f>
        <v>241368.48312500003</v>
      </c>
    </row>
    <row r="23" spans="1:2" x14ac:dyDescent="0.35">
      <c r="A23" t="str">
        <f>'CSF Demand'!A23</f>
        <v>Manipur</v>
      </c>
      <c r="B23">
        <f>'CSF Demand'!K23</f>
        <v>352690.32607187505</v>
      </c>
    </row>
    <row r="24" spans="1:2" x14ac:dyDescent="0.35">
      <c r="A24" t="str">
        <f>'CSF Demand'!A24</f>
        <v>Meghalaya</v>
      </c>
      <c r="B24">
        <f>'CSF Demand'!K24</f>
        <v>1058968.9889075002</v>
      </c>
    </row>
    <row r="25" spans="1:2" x14ac:dyDescent="0.35">
      <c r="A25" t="str">
        <f>'CSF Demand'!A25</f>
        <v>Mizoram</v>
      </c>
      <c r="B25">
        <f>'CSF Demand'!K25</f>
        <v>438458.59265312506</v>
      </c>
    </row>
    <row r="26" spans="1:2" x14ac:dyDescent="0.35">
      <c r="A26" t="str">
        <f>'CSF Demand'!A26</f>
        <v>Nagaland</v>
      </c>
      <c r="B26">
        <f>'CSF Demand'!K26</f>
        <v>606711.91477187502</v>
      </c>
    </row>
    <row r="27" spans="1:2" x14ac:dyDescent="0.35">
      <c r="A27" t="str">
        <f>'CSF Demand'!A27</f>
        <v>Odisha</v>
      </c>
      <c r="B27">
        <f>'CSF Demand'!K27</f>
        <v>202632.58954125002</v>
      </c>
    </row>
    <row r="28" spans="1:2" x14ac:dyDescent="0.35">
      <c r="A28" t="str">
        <f>'CSF Demand'!A28</f>
        <v>Puducherry</v>
      </c>
      <c r="B28">
        <f>'CSF Demand'!K28</f>
        <v>1319.2811500000003</v>
      </c>
    </row>
    <row r="29" spans="1:2" x14ac:dyDescent="0.35">
      <c r="A29" t="str">
        <f>'CSF Demand'!A29</f>
        <v>Punjab</v>
      </c>
      <c r="B29">
        <f>'CSF Demand'!K29</f>
        <v>79398.237483125005</v>
      </c>
    </row>
    <row r="30" spans="1:2" x14ac:dyDescent="0.35">
      <c r="A30" t="str">
        <f>'CSF Demand'!A30</f>
        <v>Rajasthan</v>
      </c>
      <c r="B30">
        <f>'CSF Demand'!K30</f>
        <v>232085.54121500006</v>
      </c>
    </row>
    <row r="31" spans="1:2" x14ac:dyDescent="0.35">
      <c r="A31" t="str">
        <f>'CSF Demand'!A31</f>
        <v>Sikkim</v>
      </c>
      <c r="B31">
        <f>'CSF Demand'!K31</f>
        <v>40957.682975000003</v>
      </c>
    </row>
    <row r="32" spans="1:2" x14ac:dyDescent="0.35">
      <c r="A32" t="str">
        <f>'CSF Demand'!A32</f>
        <v>Tamil Nadu</v>
      </c>
      <c r="B32">
        <f>'CSF Demand'!K32</f>
        <v>100103.45562250003</v>
      </c>
    </row>
    <row r="33" spans="1:2" x14ac:dyDescent="0.35">
      <c r="A33" t="str">
        <f>'CSF Demand'!A33</f>
        <v>Telangana</v>
      </c>
      <c r="B33">
        <f>'CSF Demand'!K33</f>
        <v>266842.60278500005</v>
      </c>
    </row>
    <row r="34" spans="1:2" x14ac:dyDescent="0.35">
      <c r="A34" t="str">
        <f>'CSF Demand'!A34</f>
        <v>Tripura</v>
      </c>
      <c r="B34">
        <f>'CSF Demand'!K34</f>
        <v>308884.19515937509</v>
      </c>
    </row>
    <row r="35" spans="1:2" x14ac:dyDescent="0.35">
      <c r="A35" t="str">
        <f>'CSF Demand'!A35</f>
        <v>Uttar Pradesh</v>
      </c>
      <c r="B35">
        <f>'CSF Demand'!K35</f>
        <v>612683.16115875007</v>
      </c>
    </row>
    <row r="36" spans="1:2" x14ac:dyDescent="0.35">
      <c r="A36" t="str">
        <f>'CSF Demand'!A36</f>
        <v>Uttarakhand</v>
      </c>
      <c r="B36">
        <f>'CSF Demand'!K36</f>
        <v>26474.074804375003</v>
      </c>
    </row>
    <row r="37" spans="1:2" x14ac:dyDescent="0.35">
      <c r="A37" t="str">
        <f>'CSF Demand'!A37</f>
        <v>West Bengal</v>
      </c>
      <c r="B37">
        <f>'CSF Demand'!K37</f>
        <v>810092.59669250005</v>
      </c>
    </row>
    <row r="38" spans="1:2" x14ac:dyDescent="0.35">
      <c r="A38" t="s">
        <v>108</v>
      </c>
      <c r="B38">
        <f>SUM(B2:B37)</f>
        <v>13575834.798240006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8"/>
  <sheetViews>
    <sheetView workbookViewId="0"/>
  </sheetViews>
  <sheetFormatPr defaultRowHeight="14.5" x14ac:dyDescent="0.35"/>
  <cols>
    <col min="1" max="1" width="28" customWidth="1"/>
    <col min="2" max="2" width="22" customWidth="1"/>
  </cols>
  <sheetData>
    <row r="1" spans="1:2" x14ac:dyDescent="0.35">
      <c r="A1" t="s">
        <v>0</v>
      </c>
      <c r="B1" t="s">
        <v>82</v>
      </c>
    </row>
    <row r="2" spans="1:2" x14ac:dyDescent="0.35">
      <c r="A2" t="str">
        <f>'LSD Demand'!A2</f>
        <v>Andaman &amp; Nicobar Islands</v>
      </c>
      <c r="B2">
        <f>'LSD Demand'!K2</f>
        <v>54627.234708750002</v>
      </c>
    </row>
    <row r="3" spans="1:2" x14ac:dyDescent="0.35">
      <c r="A3" t="str">
        <f>'LSD Demand'!A3</f>
        <v>Andhra Pradesh</v>
      </c>
      <c r="B3">
        <f>'LSD Demand'!K3</f>
        <v>6896372.8039318752</v>
      </c>
    </row>
    <row r="4" spans="1:2" x14ac:dyDescent="0.35">
      <c r="A4" t="str">
        <f>'LSD Demand'!A4</f>
        <v>Arunachal Pradesh</v>
      </c>
      <c r="B4">
        <f>'LSD Demand'!K4</f>
        <v>508554.39884562511</v>
      </c>
    </row>
    <row r="5" spans="1:2" x14ac:dyDescent="0.35">
      <c r="A5" t="str">
        <f>'LSD Demand'!A5</f>
        <v>Assam</v>
      </c>
      <c r="B5">
        <f>'LSD Demand'!K5</f>
        <v>16354947.015391877</v>
      </c>
    </row>
    <row r="6" spans="1:2" x14ac:dyDescent="0.35">
      <c r="A6" t="str">
        <f>'LSD Demand'!A6</f>
        <v>Bihar</v>
      </c>
      <c r="B6">
        <f>'LSD Demand'!K6</f>
        <v>23084391.775087502</v>
      </c>
    </row>
    <row r="7" spans="1:2" x14ac:dyDescent="0.35">
      <c r="A7" t="str">
        <f>'LSD Demand'!A7</f>
        <v>Chandigarh</v>
      </c>
      <c r="B7">
        <f>'LSD Demand'!K7</f>
        <v>20149.021200000007</v>
      </c>
    </row>
    <row r="8" spans="1:2" x14ac:dyDescent="0.35">
      <c r="A8" t="str">
        <f>'LSD Demand'!A8</f>
        <v>Chhattisgarh</v>
      </c>
      <c r="B8">
        <f>'LSD Demand'!K8</f>
        <v>14967775.357576253</v>
      </c>
    </row>
    <row r="9" spans="1:2" x14ac:dyDescent="0.35">
      <c r="A9" t="str">
        <f>'LSD Demand'!A9</f>
        <v>Dadra &amp; Nagar Haveli</v>
      </c>
      <c r="B9">
        <f>'LSD Demand'!K9</f>
        <v>59571.540655000012</v>
      </c>
    </row>
    <row r="10" spans="1:2" x14ac:dyDescent="0.35">
      <c r="A10" t="str">
        <f>'LSD Demand'!A10</f>
        <v>Daman &amp; Diu</v>
      </c>
      <c r="B10">
        <f>'LSD Demand'!K10</f>
        <v>2758.4969500000007</v>
      </c>
    </row>
    <row r="11" spans="1:2" x14ac:dyDescent="0.35">
      <c r="A11" t="str">
        <f>'LSD Demand'!A11</f>
        <v>Delhi</v>
      </c>
      <c r="B11">
        <f>'LSD Demand'!K11</f>
        <v>129578.89504312501</v>
      </c>
    </row>
    <row r="12" spans="1:2" x14ac:dyDescent="0.35">
      <c r="A12" t="str">
        <f>'LSD Demand'!A12</f>
        <v>Goa</v>
      </c>
      <c r="B12">
        <f>'LSD Demand'!K12</f>
        <v>90321.285731875018</v>
      </c>
    </row>
    <row r="13" spans="1:2" x14ac:dyDescent="0.35">
      <c r="A13" t="str">
        <f>'LSD Demand'!A13</f>
        <v>Gujarat</v>
      </c>
      <c r="B13">
        <f>'LSD Demand'!K13</f>
        <v>14442586.022775628</v>
      </c>
    </row>
    <row r="14" spans="1:2" x14ac:dyDescent="0.35">
      <c r="A14" t="str">
        <f>'LSD Demand'!A14</f>
        <v>Haryana</v>
      </c>
      <c r="B14">
        <f>'LSD Demand'!K14</f>
        <v>2891447.5078912508</v>
      </c>
    </row>
    <row r="15" spans="1:2" x14ac:dyDescent="0.35">
      <c r="A15" t="str">
        <f>'LSD Demand'!A15</f>
        <v>Himachal Pradesh</v>
      </c>
      <c r="B15">
        <f>'LSD Demand'!K15</f>
        <v>2740532.2386131254</v>
      </c>
    </row>
    <row r="16" spans="1:2" x14ac:dyDescent="0.35">
      <c r="A16" t="str">
        <f>'LSD Demand'!A16</f>
        <v>Jammu &amp; Kashmir</v>
      </c>
      <c r="B16">
        <f>'LSD Demand'!K16</f>
        <v>3806785.7583250003</v>
      </c>
    </row>
    <row r="17" spans="1:2" x14ac:dyDescent="0.35">
      <c r="A17" t="str">
        <f>'LSD Demand'!A17</f>
        <v>Jharkhand</v>
      </c>
      <c r="B17">
        <f>'LSD Demand'!K17</f>
        <v>16825410.169397507</v>
      </c>
    </row>
    <row r="18" spans="1:2" x14ac:dyDescent="0.35">
      <c r="A18" t="str">
        <f>'LSD Demand'!A18</f>
        <v>Karnataka</v>
      </c>
      <c r="B18">
        <f>'LSD Demand'!K18</f>
        <v>12696587.882357502</v>
      </c>
    </row>
    <row r="19" spans="1:2" x14ac:dyDescent="0.35">
      <c r="A19" t="str">
        <f>'LSD Demand'!A19</f>
        <v>Kerala</v>
      </c>
      <c r="B19">
        <f>'LSD Demand'!K19</f>
        <v>2011897.7570175002</v>
      </c>
    </row>
    <row r="20" spans="1:2" x14ac:dyDescent="0.35">
      <c r="A20" t="str">
        <f>'LSD Demand'!A20</f>
        <v>Lakshadweep</v>
      </c>
      <c r="B20">
        <f>'LSD Demand'!K20</f>
        <v>3737.4635306250002</v>
      </c>
    </row>
    <row r="21" spans="1:2" x14ac:dyDescent="0.35">
      <c r="A21" t="str">
        <f>'LSD Demand'!A21</f>
        <v>Madhya Pradesh</v>
      </c>
      <c r="B21">
        <f>'LSD Demand'!K21</f>
        <v>28110924.917377502</v>
      </c>
    </row>
    <row r="22" spans="1:2" x14ac:dyDescent="0.35">
      <c r="A22" t="str">
        <f>'LSD Demand'!A22</f>
        <v>Maharashtra</v>
      </c>
      <c r="B22">
        <f>'LSD Demand'!K22</f>
        <v>20977026.036670003</v>
      </c>
    </row>
    <row r="23" spans="1:2" x14ac:dyDescent="0.35">
      <c r="A23" t="str">
        <f>'LSD Demand'!A23</f>
        <v>Manipur</v>
      </c>
      <c r="B23">
        <f>'LSD Demand'!K23</f>
        <v>336524.63443500007</v>
      </c>
    </row>
    <row r="24" spans="1:2" x14ac:dyDescent="0.35">
      <c r="A24" t="str">
        <f>'LSD Demand'!A24</f>
        <v>Meghalaya</v>
      </c>
      <c r="B24">
        <f>'LSD Demand'!K24</f>
        <v>1354616.8962562501</v>
      </c>
    </row>
    <row r="25" spans="1:2" x14ac:dyDescent="0.35">
      <c r="A25" t="str">
        <f>'LSD Demand'!A25</f>
        <v>Mizoram</v>
      </c>
      <c r="B25">
        <f>'LSD Demand'!K25</f>
        <v>68514.167995625015</v>
      </c>
    </row>
    <row r="26" spans="1:2" x14ac:dyDescent="0.35">
      <c r="A26" t="str">
        <f>'LSD Demand'!A26</f>
        <v>Nagaland</v>
      </c>
      <c r="B26">
        <f>'LSD Demand'!K26</f>
        <v>117380.04195500002</v>
      </c>
    </row>
    <row r="27" spans="1:2" x14ac:dyDescent="0.35">
      <c r="A27" t="str">
        <f>'LSD Demand'!A27</f>
        <v>Odisha</v>
      </c>
      <c r="B27">
        <f>'LSD Demand'!K27</f>
        <v>14847864.69450625</v>
      </c>
    </row>
    <row r="28" spans="1:2" x14ac:dyDescent="0.35">
      <c r="A28" t="str">
        <f>'LSD Demand'!A28</f>
        <v>Puducherry</v>
      </c>
      <c r="B28">
        <f>'LSD Demand'!K28</f>
        <v>107917.19807000001</v>
      </c>
    </row>
    <row r="29" spans="1:2" x14ac:dyDescent="0.35">
      <c r="A29" t="str">
        <f>'LSD Demand'!A29</f>
        <v>Punjab</v>
      </c>
      <c r="B29">
        <f>'LSD Demand'!K29</f>
        <v>3795122.1136125005</v>
      </c>
    </row>
    <row r="30" spans="1:2" x14ac:dyDescent="0.35">
      <c r="A30" t="str">
        <f>'LSD Demand'!A30</f>
        <v>Rajasthan</v>
      </c>
      <c r="B30">
        <f>'LSD Demand'!K30</f>
        <v>20895059.698493756</v>
      </c>
    </row>
    <row r="31" spans="1:2" x14ac:dyDescent="0.35">
      <c r="A31" t="str">
        <f>'LSD Demand'!A31</f>
        <v>Sikkim</v>
      </c>
      <c r="B31">
        <f>'LSD Demand'!K31</f>
        <v>221894.09433125006</v>
      </c>
    </row>
    <row r="32" spans="1:2" x14ac:dyDescent="0.35">
      <c r="A32" t="str">
        <f>'LSD Demand'!A32</f>
        <v>Tamil Nadu</v>
      </c>
      <c r="B32">
        <f>'LSD Demand'!K32</f>
        <v>14270214.444612501</v>
      </c>
    </row>
    <row r="33" spans="1:2" x14ac:dyDescent="0.35">
      <c r="A33" t="str">
        <f>'LSD Demand'!A33</f>
        <v>Telangana</v>
      </c>
      <c r="B33">
        <f>'LSD Demand'!K33</f>
        <v>6345351.0447043758</v>
      </c>
    </row>
    <row r="34" spans="1:2" x14ac:dyDescent="0.35">
      <c r="A34" t="str">
        <f>'LSD Demand'!A34</f>
        <v>Tripura</v>
      </c>
      <c r="B34">
        <f>'LSD Demand'!K34</f>
        <v>1107942.8040518751</v>
      </c>
    </row>
    <row r="35" spans="1:2" x14ac:dyDescent="0.35">
      <c r="A35" t="str">
        <f>'LSD Demand'!A35</f>
        <v>Uttar Pradesh</v>
      </c>
      <c r="B35">
        <f>'LSD Demand'!K35</f>
        <v>28513924.830758132</v>
      </c>
    </row>
    <row r="36" spans="1:2" x14ac:dyDescent="0.35">
      <c r="A36" t="str">
        <f>'LSD Demand'!A36</f>
        <v>Uttarakhand</v>
      </c>
      <c r="B36">
        <f>'LSD Demand'!K36</f>
        <v>2776671.5470243753</v>
      </c>
    </row>
    <row r="37" spans="1:2" x14ac:dyDescent="0.35">
      <c r="A37" t="str">
        <f>'LSD Demand'!A37</f>
        <v>West Bengal</v>
      </c>
      <c r="B37">
        <f>'LSD Demand'!K37</f>
        <v>28601289.727367505</v>
      </c>
    </row>
    <row r="38" spans="1:2" x14ac:dyDescent="0.35">
      <c r="A38" t="s">
        <v>108</v>
      </c>
      <c r="B38">
        <f>SUM(B2:B37)</f>
        <v>290036271.51725191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6"/>
  <sheetViews>
    <sheetView workbookViewId="0">
      <selection activeCell="A12" sqref="A12"/>
    </sheetView>
  </sheetViews>
  <sheetFormatPr defaultRowHeight="14.5" x14ac:dyDescent="0.35"/>
  <cols>
    <col min="1" max="6" width="30" customWidth="1"/>
  </cols>
  <sheetData>
    <row r="1" spans="1:5" x14ac:dyDescent="0.35">
      <c r="A1" t="s">
        <v>120</v>
      </c>
    </row>
    <row r="3" spans="1:5" x14ac:dyDescent="0.35">
      <c r="A3" t="s">
        <v>121</v>
      </c>
      <c r="B3">
        <f>SUM('Final Demand (State x Vaccine)'!G:G)</f>
        <v>2698543394.997004</v>
      </c>
      <c r="D3" t="s">
        <v>122</v>
      </c>
    </row>
    <row r="5" spans="1:5" x14ac:dyDescent="0.35">
      <c r="A5" t="s">
        <v>123</v>
      </c>
      <c r="D5" t="s">
        <v>124</v>
      </c>
      <c r="E5">
        <f>COUNTIF('State Prioritisation'!H:H,"High")</f>
        <v>9</v>
      </c>
    </row>
    <row r="6" spans="1:5" x14ac:dyDescent="0.35">
      <c r="A6" t="s">
        <v>65</v>
      </c>
      <c r="B6">
        <f>SUM('Final Demand (State x Vaccine)'!B:B)</f>
        <v>1605671415.6531677</v>
      </c>
      <c r="D6" t="s">
        <v>125</v>
      </c>
      <c r="E6">
        <f>COUNTIF('State Prioritisation'!H:H,"Medium")</f>
        <v>13</v>
      </c>
    </row>
    <row r="7" spans="1:5" x14ac:dyDescent="0.35">
      <c r="A7" t="s">
        <v>67</v>
      </c>
      <c r="B7">
        <f>SUM('Final Demand (State x Vaccine)'!C:C)</f>
        <v>454724053.42778563</v>
      </c>
      <c r="D7" t="s">
        <v>126</v>
      </c>
      <c r="E7">
        <f>COUNTIF('State Prioritisation'!H:H,"Standard")</f>
        <v>14</v>
      </c>
    </row>
    <row r="8" spans="1:5" x14ac:dyDescent="0.35">
      <c r="A8" t="s">
        <v>69</v>
      </c>
      <c r="B8">
        <f>SUM('Final Demand (State x Vaccine)'!D:D)</f>
        <v>334535819.60055822</v>
      </c>
    </row>
    <row r="9" spans="1:5" x14ac:dyDescent="0.35">
      <c r="A9" t="s">
        <v>71</v>
      </c>
      <c r="B9">
        <f>SUM('Final Demand (State x Vaccine)'!E:E)</f>
        <v>13575834.798240006</v>
      </c>
    </row>
    <row r="10" spans="1:5" x14ac:dyDescent="0.35">
      <c r="A10" t="s">
        <v>72</v>
      </c>
      <c r="B10">
        <f>SUM('Final Demand (State x Vaccine)'!F:F)</f>
        <v>290036271.51725191</v>
      </c>
    </row>
    <row r="12" spans="1:5" x14ac:dyDescent="0.35">
      <c r="A12" t="s">
        <v>127</v>
      </c>
    </row>
    <row r="13" spans="1:5" x14ac:dyDescent="0.35">
      <c r="A13" t="s">
        <v>128</v>
      </c>
    </row>
    <row r="14" spans="1:5" x14ac:dyDescent="0.35">
      <c r="A14" t="s">
        <v>129</v>
      </c>
    </row>
    <row r="15" spans="1:5" x14ac:dyDescent="0.35">
      <c r="A15" t="s">
        <v>130</v>
      </c>
    </row>
    <row r="16" spans="1:5" x14ac:dyDescent="0.35">
      <c r="A16" t="s">
        <v>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showGridLines="0" zoomScale="77" zoomScaleNormal="100" workbookViewId="0">
      <selection sqref="A1:XFD104857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2"/>
  <sheetViews>
    <sheetView workbookViewId="0">
      <selection activeCell="A10" sqref="A10"/>
    </sheetView>
  </sheetViews>
  <sheetFormatPr defaultRowHeight="14.5" x14ac:dyDescent="0.35"/>
  <cols>
    <col min="1" max="1" width="150" customWidth="1"/>
  </cols>
  <sheetData>
    <row r="1" spans="1:1" x14ac:dyDescent="0.35">
      <c r="A1" t="s">
        <v>109</v>
      </c>
    </row>
    <row r="3" spans="1:1" x14ac:dyDescent="0.35">
      <c r="A3" t="s">
        <v>110</v>
      </c>
    </row>
    <row r="4" spans="1:1" x14ac:dyDescent="0.35">
      <c r="A4" t="s">
        <v>111</v>
      </c>
    </row>
    <row r="5" spans="1:1" x14ac:dyDescent="0.35">
      <c r="A5" t="s">
        <v>112</v>
      </c>
    </row>
    <row r="6" spans="1:1" x14ac:dyDescent="0.35">
      <c r="A6" t="s">
        <v>113</v>
      </c>
    </row>
    <row r="7" spans="1:1" x14ac:dyDescent="0.35">
      <c r="A7" t="s">
        <v>114</v>
      </c>
    </row>
    <row r="8" spans="1:1" x14ac:dyDescent="0.35">
      <c r="A8" t="s">
        <v>115</v>
      </c>
    </row>
    <row r="9" spans="1:1" x14ac:dyDescent="0.35">
      <c r="A9" t="s">
        <v>116</v>
      </c>
    </row>
    <row r="10" spans="1:1" x14ac:dyDescent="0.35">
      <c r="A10" t="s">
        <v>117</v>
      </c>
    </row>
    <row r="11" spans="1:1" x14ac:dyDescent="0.35">
      <c r="A11" t="s">
        <v>118</v>
      </c>
    </row>
    <row r="12" spans="1:1" x14ac:dyDescent="0.35">
      <c r="A1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Livestock Count</vt:lpstr>
      <vt:lpstr>Assumptions</vt:lpstr>
      <vt:lpstr>Vaccine Parameters</vt:lpstr>
      <vt:lpstr>Demand Estimation</vt:lpstr>
      <vt:lpstr>Last Year Procurement</vt:lpstr>
      <vt:lpstr>State Prioritisation</vt:lpstr>
      <vt:lpstr>Dashboard</vt:lpstr>
      <vt:lpstr>FMD Demand</vt:lpstr>
      <vt:lpstr>Brucellosis Demand</vt:lpstr>
      <vt:lpstr>PPR Demand</vt:lpstr>
      <vt:lpstr>CSF Demand</vt:lpstr>
      <vt:lpstr>LSD Demand</vt:lpstr>
      <vt:lpstr>Final Demand (State x Vaccine)</vt:lpstr>
      <vt:lpstr>FMD Summary</vt:lpstr>
      <vt:lpstr>Brucellosis Summary</vt:lpstr>
      <vt:lpstr>PPR Summary</vt:lpstr>
      <vt:lpstr>CSF Summary</vt:lpstr>
      <vt:lpstr>LSD Summary</vt:lpstr>
      <vt:lpstr>Executive Dashboard (MoFAHD)</vt:lpstr>
      <vt:lpstr>Dashboard1</vt:lpstr>
      <vt:lpstr>Formula Logic 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Vishwajeet Anand</cp:lastModifiedBy>
  <dcterms:created xsi:type="dcterms:W3CDTF">2026-02-07T18:04:14Z</dcterms:created>
  <dcterms:modified xsi:type="dcterms:W3CDTF">2026-02-11T12:27:51Z</dcterms:modified>
</cp:coreProperties>
</file>